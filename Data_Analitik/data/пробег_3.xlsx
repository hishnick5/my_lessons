
<file path=[Content_Types].xml><?xml version="1.0" encoding="utf-8"?>
<Types xmlns="http://schemas.openxmlformats.org/package/2006/content-types">
  <Default Extension="jpeg" ContentType="image/jpeg"/>
  <Default Extension="jp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ЭтаКнига"/>
  <mc:AlternateContent xmlns:mc="http://schemas.openxmlformats.org/markup-compatibility/2006">
    <mc:Choice Requires="x15">
      <x15ac:absPath xmlns:x15ac="http://schemas.microsoft.com/office/spreadsheetml/2010/11/ac" url="D:\my_doc\Чтение лекций_дом\курс с 10.09  по 5.11\6_Excel_3\"/>
    </mc:Choice>
  </mc:AlternateContent>
  <xr:revisionPtr revIDLastSave="0" documentId="13_ncr:1_{0CD88B6F-04BF-4DE8-9A77-45E3E9A9BC0A}" xr6:coauthVersionLast="47" xr6:coauthVersionMax="47" xr10:uidLastSave="{00000000-0000-0000-0000-000000000000}"/>
  <bookViews>
    <workbookView xWindow="4530" yWindow="495" windowWidth="24300" windowHeight="14490" tabRatio="786" activeTab="7" xr2:uid="{00000000-000D-0000-FFFF-FFFF00000000}"/>
  </bookViews>
  <sheets>
    <sheet name="9. карт_в прим" sheetId="25" r:id="rId1"/>
    <sheet name="10. окно_контр" sheetId="26" r:id="rId2"/>
    <sheet name="парам_вычислений" sheetId="38" r:id="rId3"/>
    <sheet name="москва" sheetId="28" r:id="rId4"/>
    <sheet name="казань" sheetId="29" r:id="rId5"/>
    <sheet name="питер" sheetId="30" r:id="rId6"/>
    <sheet name="консалид_филиалов" sheetId="34" r:id="rId7"/>
    <sheet name="Иванов" sheetId="35" r:id="rId8"/>
    <sheet name="Сидоров" sheetId="36" r:id="rId9"/>
    <sheet name="Петров" sheetId="37" r:id="rId10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26" l="1"/>
  <c r="D2" i="26"/>
  <c r="E4" i="25" l="1"/>
  <c r="E5" i="25"/>
  <c r="E6" i="25"/>
  <c r="E7" i="25"/>
  <c r="E8" i="25"/>
  <c r="E9" i="25"/>
  <c r="E10" i="25"/>
  <c r="E11" i="25"/>
  <c r="E3" i="25"/>
  <c r="E12" i="25" l="1"/>
  <c r="E13" i="2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A8" authorId="0" shapeId="0" xr:uid="{DAF6F890-F67F-4168-A5B3-1AF9CBB23DC6}">
      <text/>
    </comment>
    <comment ref="A9" authorId="0" shapeId="0" xr:uid="{0FD0F995-ACEB-4E5D-AFFE-63812D3E80AE}">
      <text/>
    </comment>
    <comment ref="A10" authorId="0" shapeId="0" xr:uid="{104993CC-A7BA-4C23-A958-4A34A291D76C}">
      <text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A11" authorId="0" shapeId="0" xr:uid="{A9E345CB-8F33-4139-9AED-DA6A0F8B239F}">
      <text/>
    </comment>
  </commentList>
</comments>
</file>

<file path=xl/sharedStrings.xml><?xml version="1.0" encoding="utf-8"?>
<sst xmlns="http://schemas.openxmlformats.org/spreadsheetml/2006/main" count="144" uniqueCount="94">
  <si>
    <t>Цена</t>
  </si>
  <si>
    <t>Количество</t>
  </si>
  <si>
    <t>вставка картинки в примечание</t>
  </si>
  <si>
    <t>наименование</t>
  </si>
  <si>
    <t>товар1</t>
  </si>
  <si>
    <t>товар2</t>
  </si>
  <si>
    <t>товар3</t>
  </si>
  <si>
    <t>товар4</t>
  </si>
  <si>
    <t>товар5</t>
  </si>
  <si>
    <t>товар6</t>
  </si>
  <si>
    <t>товар7</t>
  </si>
  <si>
    <t>товар8</t>
  </si>
  <si>
    <t>товар9</t>
  </si>
  <si>
    <t>Стоимость со скидкой 5%</t>
  </si>
  <si>
    <t>сумма</t>
  </si>
  <si>
    <t>со скидкой 5%</t>
  </si>
  <si>
    <t>"=СУММПРОИЗВ(С2:С6;D2:D6)*0,95</t>
  </si>
  <si>
    <t>окно контрольного значения</t>
  </si>
  <si>
    <t>Наушники</t>
  </si>
  <si>
    <t>Смартфон</t>
  </si>
  <si>
    <t>Футболка</t>
  </si>
  <si>
    <t>Кроссовки</t>
  </si>
  <si>
    <t>Джинсы</t>
  </si>
  <si>
    <t>товар</t>
  </si>
  <si>
    <t>консалидация 1</t>
  </si>
  <si>
    <t>консалидация 2</t>
  </si>
  <si>
    <t>консалидация 3</t>
  </si>
  <si>
    <t>по разным филиалам  один тип таблицы</t>
  </si>
  <si>
    <t xml:space="preserve">остаток </t>
  </si>
  <si>
    <t>продано</t>
  </si>
  <si>
    <t>закуплено</t>
  </si>
  <si>
    <t>Футболка2</t>
  </si>
  <si>
    <t>Параметры вычислений</t>
  </si>
  <si>
    <t>Эта кнопка позволяет выбрать режим вычислений в Excel. Она имеет выпадающее меню со следующими опциями:</t>
  </si>
  <si>
    <t>Этот режим полезен, если вы хотите внести несколько изменений в данные, не пересчитывая формулы каждый раз. Он также может быть полезен, если у вас очень сложные формулы, которые сильно замедляют работу Excel.</t>
  </si>
  <si>
    <t>Excel не пересчитывает формулы автоматически. Вы должны пересчитать их вручную, нажав клавишу F9 (Пересчитать лист) или Ctrl+Alt+F9 (Пересчитать книгу).( Если вы измените значение в ячейке A1 на 15, значение в ячейке считаемое формулой A3 останется 30 до тех пор, пока вы не нажмете F9 или Ctrl+Alt+F9.</t>
  </si>
  <si>
    <t xml:space="preserve">добавить контрольное значение </t>
  </si>
  <si>
    <t>Расположение</t>
  </si>
  <si>
    <t xml:space="preserve"> На 1 листе данные  на другом листе  вычислениеформулой</t>
  </si>
  <si>
    <t>На каждой вкладке одинаковые таблицы но разное содержание</t>
  </si>
  <si>
    <t>Протянуть это по всем строкам и проделать это в каждой вкладке .</t>
  </si>
  <si>
    <t>Цель: Совместный подсчет несколько вкладок</t>
  </si>
  <si>
    <t xml:space="preserve">Выделяем все вкладки  </t>
  </si>
  <si>
    <t>Выполнение</t>
  </si>
  <si>
    <t>В одной ячейку вставлям формулу потом протягиваем до конца таблицы</t>
  </si>
  <si>
    <t>Должно посчитать (может быть подвисание) отщекнуть  и поменять и снова вернуть- значение  обновится</t>
  </si>
  <si>
    <t>Надо получить в третью колонку результат вычитания  из одной колонки – другую</t>
  </si>
  <si>
    <t>Задание</t>
  </si>
  <si>
    <t>Автоматически (Automatic):</t>
  </si>
  <si>
    <t>Вручную (Manual):</t>
  </si>
  <si>
    <t>Это режим по умолчанию. Excel автоматически пересчитывает все формулы в книге при каждом изменении данных, от которых зависят эти формулы.</t>
  </si>
  <si>
    <t>Этот режим обеспечивает актуальность данных, но может замедлять работу Excel при большом количестве сложных формул.</t>
  </si>
  <si>
    <t>Данные -работа с данными -консалидация</t>
  </si>
  <si>
    <t>Важно структура должна быть одинакова</t>
  </si>
  <si>
    <t>Указываем что хотим получить, допустим сумму</t>
  </si>
  <si>
    <t>Цель:консалидация соединение</t>
  </si>
  <si>
    <t>У нас есть товары на разных листах из разных филиалов</t>
  </si>
  <si>
    <t xml:space="preserve"> Надо просумировать товары со всех филиалов</t>
  </si>
  <si>
    <t>При этом одинаковые названия товаров он тоже просуммировал</t>
  </si>
  <si>
    <t xml:space="preserve"> Дальше указываем диапазоны</t>
  </si>
  <si>
    <t>Переходим на новый лист где будем получать результат</t>
  </si>
  <si>
    <t>Ссылка -открываем лист филиала и выделяем таблицу с названиями- добавить</t>
  </si>
  <si>
    <t>Добавляем так все листы и  ставим галочки -ок</t>
  </si>
  <si>
    <t xml:space="preserve"> Автоматического обновление нет но можно перезапустить</t>
  </si>
  <si>
    <t>вставка  - рисунки -это устройство указываем рисунок</t>
  </si>
  <si>
    <t xml:space="preserve"> разместить рисунок в пределах ячейки</t>
  </si>
  <si>
    <t xml:space="preserve"> стукнуть по рисунку - пр.кн.-размер  свойства</t>
  </si>
  <si>
    <t>в списке свойства радио точка премещать  и изменять размеры вместе с ячейкой</t>
  </si>
  <si>
    <t xml:space="preserve"> нажимаем Alt+перемещаем границы рисунка к границе ячейки</t>
  </si>
  <si>
    <t xml:space="preserve">вставка рисунка в ячейку </t>
  </si>
  <si>
    <t>вставка рисунка в примечание</t>
  </si>
  <si>
    <t>Пр.кн. по ячейке - вставить примечание</t>
  </si>
  <si>
    <t xml:space="preserve"> на границе примечания пр.кн- формат примечания</t>
  </si>
  <si>
    <t>Цвета и линии- Цвет -открыть список</t>
  </si>
  <si>
    <t>способы заливки-Рисунок-рисунок найти рисунок  ок</t>
  </si>
  <si>
    <t>найти рисунок-  ОК</t>
  </si>
  <si>
    <r>
      <t xml:space="preserve"> </t>
    </r>
    <r>
      <rPr>
        <b/>
        <sz val="12"/>
        <color rgb="FF0070C0"/>
        <rFont val="Times New Roman"/>
        <family val="1"/>
        <charset val="204"/>
      </rPr>
      <t>Автоматически, кроме таблиц данных (Automatic Except for Data Tables):</t>
    </r>
  </si>
  <si>
    <t xml:space="preserve">если на другом листе то показывает таблицу </t>
  </si>
  <si>
    <t>Влияющие/зависимые ячейки</t>
  </si>
  <si>
    <t xml:space="preserve"> влияющие ячейки показывают синей стрелкой </t>
  </si>
  <si>
    <t xml:space="preserve"> стукнуть по таблице увидим где</t>
  </si>
  <si>
    <t xml:space="preserve">показать формулы </t>
  </si>
  <si>
    <t>раскрывает показ всех формул</t>
  </si>
  <si>
    <t>Аналогичен автоматическому режиму, но не пересчитывает таблицы данных  автоматически. Это может ускорить работу Excel, если у вас есть большие таблицы данных, которые не нужно пересчитывать при каждом изменении.</t>
  </si>
  <si>
    <t xml:space="preserve"> на первом листе (9.кар_в прим)  во вкладке формулы- окно контрольного значения</t>
  </si>
  <si>
    <t>Добавление окна контрольного значения</t>
  </si>
  <si>
    <t xml:space="preserve">указываем где работает функция </t>
  </si>
  <si>
    <t>на 2м листе-указываем ту ячейку где наша формула-  добавить</t>
  </si>
  <si>
    <t xml:space="preserve">При необходимости можем добавлять несколько </t>
  </si>
  <si>
    <t>если надо удалить - выбираем строку - Удалить контрольное значение</t>
  </si>
  <si>
    <t>Сумма</t>
  </si>
  <si>
    <t>При закрытии просто окна  строки сохраняются</t>
  </si>
  <si>
    <r>
      <t>нам нужно общую таблицу со всех вкладок с</t>
    </r>
    <r>
      <rPr>
        <b/>
        <sz val="11"/>
        <color rgb="FFC00000"/>
        <rFont val="Calibri"/>
        <family val="2"/>
        <charset val="204"/>
        <scheme val="minor"/>
      </rPr>
      <t>м. лист  консалид_филиалов</t>
    </r>
  </si>
  <si>
    <t>"=C2-D2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</si>
</sst>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70C0"/>
      <name val="Calibri"/>
      <family val="2"/>
      <scheme val="minor"/>
    </font>
    <font>
      <sz val="9"/>
      <color indexed="81"/>
      <name val="Tahoma"/>
      <family val="2"/>
      <charset val="204"/>
    </font>
    <font>
      <b/>
      <sz val="20"/>
      <color theme="1"/>
      <name val="Calibri"/>
      <family val="2"/>
      <charset val="204"/>
      <scheme val="minor"/>
    </font>
    <font>
      <sz val="16"/>
      <color theme="1"/>
      <name val="Arial Black"/>
      <family val="2"/>
      <charset val="204"/>
    </font>
    <font>
      <sz val="11"/>
      <color rgb="FF212529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22"/>
      <color theme="1"/>
      <name val="Arial Black"/>
      <family val="2"/>
      <charset val="204"/>
    </font>
    <font>
      <sz val="12"/>
      <color rgb="FF000000"/>
      <name val="Times New Roman"/>
      <family val="1"/>
      <charset val="204"/>
    </font>
    <font>
      <sz val="12"/>
      <color rgb="FF212529"/>
      <name val="Times New Roman"/>
      <family val="1"/>
      <charset val="204"/>
    </font>
    <font>
      <sz val="10"/>
      <color rgb="FF212529"/>
      <name val="Courier New"/>
      <family val="3"/>
      <charset val="204"/>
    </font>
    <font>
      <sz val="12"/>
      <color theme="1"/>
      <name val="Times New Roman"/>
      <family val="1"/>
      <charset val="204"/>
    </font>
    <font>
      <sz val="12"/>
      <color rgb="FF0070C0"/>
      <name val="Times New Roman"/>
      <family val="1"/>
      <charset val="204"/>
    </font>
    <font>
      <b/>
      <sz val="11"/>
      <color rgb="FFC00000"/>
      <name val="Calibri"/>
      <family val="2"/>
      <charset val="204"/>
      <scheme val="minor"/>
    </font>
    <font>
      <b/>
      <sz val="12"/>
      <color rgb="FFC0000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sz val="13"/>
      <color rgb="FFC00000"/>
      <name val="Times New Roman"/>
      <family val="1"/>
      <charset val="204"/>
    </font>
    <font>
      <b/>
      <sz val="12"/>
      <color rgb="FF0070C0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6F8FA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5" fillId="0" borderId="0"/>
    <xf numFmtId="0" fontId="2" fillId="0" borderId="0"/>
  </cellStyleXfs>
  <cellXfs count="37">
    <xf numFmtId="0" fontId="0" fillId="0" borderId="0" xfId="0"/>
    <xf numFmtId="0" fontId="4" fillId="0" borderId="0" xfId="0" applyFont="1"/>
    <xf numFmtId="0" fontId="0" fillId="0" borderId="2" xfId="0" applyBorder="1"/>
    <xf numFmtId="0" fontId="6" fillId="0" borderId="0" xfId="0" applyFont="1"/>
    <xf numFmtId="0" fontId="4" fillId="0" borderId="2" xfId="0" applyFont="1" applyBorder="1"/>
    <xf numFmtId="2" fontId="4" fillId="0" borderId="1" xfId="0" applyNumberFormat="1" applyFont="1" applyBorder="1"/>
    <xf numFmtId="0" fontId="0" fillId="0" borderId="4" xfId="0" applyBorder="1"/>
    <xf numFmtId="0" fontId="0" fillId="0" borderId="3" xfId="0" applyBorder="1"/>
    <xf numFmtId="9" fontId="4" fillId="0" borderId="0" xfId="0" applyNumberFormat="1" applyFont="1"/>
    <xf numFmtId="0" fontId="8" fillId="0" borderId="0" xfId="0" applyFont="1"/>
    <xf numFmtId="0" fontId="9" fillId="0" borderId="0" xfId="0" applyFont="1"/>
    <xf numFmtId="0" fontId="2" fillId="0" borderId="0" xfId="2"/>
    <xf numFmtId="0" fontId="10" fillId="2" borderId="2" xfId="2" applyFont="1" applyFill="1" applyBorder="1" applyAlignment="1">
      <alignment horizontal="left" vertical="center" wrapText="1" indent="1"/>
    </xf>
    <xf numFmtId="0" fontId="10" fillId="3" borderId="2" xfId="2" applyFont="1" applyFill="1" applyBorder="1" applyAlignment="1">
      <alignment horizontal="left" vertical="center" wrapText="1" indent="1"/>
    </xf>
    <xf numFmtId="0" fontId="10" fillId="2" borderId="2" xfId="2" applyFont="1" applyFill="1" applyBorder="1" applyAlignment="1">
      <alignment horizontal="left" vertical="top" wrapText="1"/>
    </xf>
    <xf numFmtId="0" fontId="10" fillId="3" borderId="2" xfId="2" applyFont="1" applyFill="1" applyBorder="1" applyAlignment="1">
      <alignment horizontal="left" vertical="top" wrapText="1"/>
    </xf>
    <xf numFmtId="0" fontId="11" fillId="0" borderId="2" xfId="2" applyFont="1" applyBorder="1" applyAlignment="1">
      <alignment horizontal="left" vertical="top"/>
    </xf>
    <xf numFmtId="0" fontId="11" fillId="0" borderId="0" xfId="2" applyFont="1" applyAlignment="1">
      <alignment horizontal="left" vertical="top"/>
    </xf>
    <xf numFmtId="0" fontId="12" fillId="0" borderId="0" xfId="2" applyFont="1"/>
    <xf numFmtId="0" fontId="14" fillId="0" borderId="0" xfId="0" applyFont="1" applyAlignment="1">
      <alignment vertical="center"/>
    </xf>
    <xf numFmtId="0" fontId="15" fillId="0" borderId="0" xfId="0" applyFont="1" applyAlignment="1">
      <alignment horizontal="left" vertical="center" indent="10"/>
    </xf>
    <xf numFmtId="0" fontId="14" fillId="0" borderId="0" xfId="0" applyFont="1" applyAlignment="1">
      <alignment horizontal="left" vertical="center" indent="10"/>
    </xf>
    <xf numFmtId="0" fontId="16" fillId="0" borderId="0" xfId="0" applyFont="1"/>
    <xf numFmtId="0" fontId="14" fillId="0" borderId="0" xfId="0" applyFont="1" applyAlignment="1">
      <alignment horizontal="left" vertical="center" indent="8"/>
    </xf>
    <xf numFmtId="0" fontId="13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8" fillId="0" borderId="0" xfId="0" applyFont="1"/>
    <xf numFmtId="0" fontId="19" fillId="0" borderId="0" xfId="0" applyFont="1" applyAlignment="1">
      <alignment vertical="center"/>
    </xf>
    <xf numFmtId="0" fontId="20" fillId="0" borderId="0" xfId="0" applyFont="1" applyAlignment="1">
      <alignment vertical="center"/>
    </xf>
    <xf numFmtId="0" fontId="17" fillId="0" borderId="0" xfId="0" applyFont="1" applyAlignment="1">
      <alignment horizontal="left" vertical="top"/>
    </xf>
    <xf numFmtId="0" fontId="21" fillId="0" borderId="0" xfId="0" applyFont="1" applyAlignment="1">
      <alignment vertical="center"/>
    </xf>
    <xf numFmtId="0" fontId="14" fillId="0" borderId="0" xfId="0" applyFont="1" applyAlignment="1">
      <alignment horizontal="left" vertical="top"/>
    </xf>
    <xf numFmtId="0" fontId="22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22" fillId="0" borderId="0" xfId="0" applyFont="1" applyAlignment="1">
      <alignment vertical="center"/>
    </xf>
    <xf numFmtId="0" fontId="16" fillId="0" borderId="0" xfId="0" applyFont="1" applyAlignment="1">
      <alignment vertical="top" wrapText="1"/>
    </xf>
    <xf numFmtId="0" fontId="1" fillId="0" borderId="0" xfId="2" applyFont="1"/>
  </cellXfs>
  <cellStyles count="3">
    <cellStyle name="Обычный" xfId="0" builtinId="0"/>
    <cellStyle name="Обычный 2" xfId="1" xr:uid="{09848D01-899B-4B1E-A0CD-122638EC6A08}"/>
    <cellStyle name="Обычный 3" xfId="2" xr:uid="{6D28E177-1CED-4052-89A5-3B783BFF07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jpeg"/><Relationship Id="rId2" Type="http://schemas.openxmlformats.org/officeDocument/2006/relationships/image" Target="../media/image4.jpeg"/><Relationship Id="rId1" Type="http://schemas.openxmlformats.org/officeDocument/2006/relationships/image" Target="../media/image3.jpeg"/><Relationship Id="rId4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172231</xdr:rowOff>
    </xdr:from>
    <xdr:to>
      <xdr:col>2</xdr:col>
      <xdr:colOff>28575</xdr:colOff>
      <xdr:row>3</xdr:row>
      <xdr:rowOff>0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1BF0A244-FEA9-E660-9F44-94ED0F6269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7957" y="486970"/>
          <a:ext cx="1345509" cy="1028747"/>
        </a:xfrm>
        <a:prstGeom prst="rect">
          <a:avLst/>
        </a:prstGeom>
      </xdr:spPr>
    </xdr:pic>
    <xdr:clientData/>
  </xdr:twoCellAnchor>
  <xdr:twoCellAnchor>
    <xdr:from>
      <xdr:col>5</xdr:col>
      <xdr:colOff>443768</xdr:colOff>
      <xdr:row>2</xdr:row>
      <xdr:rowOff>39757</xdr:rowOff>
    </xdr:from>
    <xdr:to>
      <xdr:col>7</xdr:col>
      <xdr:colOff>2</xdr:colOff>
      <xdr:row>3</xdr:row>
      <xdr:rowOff>265044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31E5D546-1505-EA94-9581-9DBEB70DB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94572" y="544996"/>
          <a:ext cx="782060" cy="5897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6A794-0534-4C75-AB83-E43AE76EF759}">
  <dimension ref="A1:P22"/>
  <sheetViews>
    <sheetView zoomScale="115" zoomScaleNormal="115" workbookViewId="0">
      <selection activeCell="H15" sqref="H15"/>
    </sheetView>
  </sheetViews>
  <sheetFormatPr defaultRowHeight="15" x14ac:dyDescent="0.25"/>
  <cols>
    <col min="1" max="1" width="13.140625" customWidth="1"/>
    <col min="2" max="2" width="7.7109375" customWidth="1"/>
    <col min="3" max="3" width="13.140625" customWidth="1"/>
    <col min="4" max="4" width="15.7109375" customWidth="1"/>
    <col min="5" max="5" width="9.42578125" customWidth="1"/>
    <col min="10" max="13" width="4.28515625" customWidth="1"/>
  </cols>
  <sheetData>
    <row r="1" spans="1:16" ht="24.75" x14ac:dyDescent="0.5">
      <c r="P1" s="10" t="s">
        <v>2</v>
      </c>
    </row>
    <row r="2" spans="1:16" x14ac:dyDescent="0.25">
      <c r="A2" s="2" t="s">
        <v>3</v>
      </c>
      <c r="B2" s="2"/>
      <c r="C2" s="4" t="s">
        <v>0</v>
      </c>
      <c r="D2" s="4" t="s">
        <v>1</v>
      </c>
    </row>
    <row r="3" spans="1:16" ht="28.5" customHeight="1" x14ac:dyDescent="0.25">
      <c r="A3" s="2" t="s">
        <v>4</v>
      </c>
      <c r="B3" s="2"/>
      <c r="C3" s="2">
        <v>150</v>
      </c>
      <c r="D3" s="2">
        <v>10</v>
      </c>
      <c r="E3" s="2">
        <f>C3*D3</f>
        <v>1500</v>
      </c>
      <c r="N3" s="26" t="s">
        <v>69</v>
      </c>
    </row>
    <row r="4" spans="1:16" ht="24" customHeight="1" x14ac:dyDescent="0.25">
      <c r="A4" s="2" t="s">
        <v>5</v>
      </c>
      <c r="B4" s="2"/>
      <c r="C4" s="2">
        <v>435</v>
      </c>
      <c r="D4" s="2">
        <v>2</v>
      </c>
      <c r="E4" s="2">
        <f t="shared" ref="E4:E11" si="0">C4*D4</f>
        <v>870</v>
      </c>
      <c r="N4">
        <v>1</v>
      </c>
      <c r="O4" s="3" t="s">
        <v>64</v>
      </c>
    </row>
    <row r="5" spans="1:16" ht="17.25" customHeight="1" x14ac:dyDescent="0.25">
      <c r="A5" s="2" t="s">
        <v>6</v>
      </c>
      <c r="B5" s="2"/>
      <c r="C5" s="2">
        <v>300</v>
      </c>
      <c r="D5" s="2">
        <v>1</v>
      </c>
      <c r="E5" s="2">
        <f t="shared" si="0"/>
        <v>300</v>
      </c>
      <c r="N5">
        <v>2</v>
      </c>
      <c r="O5" s="3" t="s">
        <v>65</v>
      </c>
    </row>
    <row r="6" spans="1:16" ht="17.25" customHeight="1" x14ac:dyDescent="0.25">
      <c r="A6" s="2" t="s">
        <v>7</v>
      </c>
      <c r="B6" s="2"/>
      <c r="C6" s="2">
        <v>400</v>
      </c>
      <c r="D6" s="2">
        <v>52</v>
      </c>
      <c r="E6" s="2">
        <f t="shared" si="0"/>
        <v>20800</v>
      </c>
      <c r="N6">
        <v>3</v>
      </c>
      <c r="O6" s="3" t="s">
        <v>66</v>
      </c>
    </row>
    <row r="7" spans="1:16" ht="17.25" customHeight="1" x14ac:dyDescent="0.25">
      <c r="A7" s="2" t="s">
        <v>8</v>
      </c>
      <c r="B7" s="2"/>
      <c r="C7" s="2">
        <v>500</v>
      </c>
      <c r="D7" s="2">
        <v>6</v>
      </c>
      <c r="E7" s="2">
        <f t="shared" si="0"/>
        <v>3000</v>
      </c>
      <c r="N7">
        <v>4</v>
      </c>
      <c r="O7" s="3" t="s">
        <v>67</v>
      </c>
    </row>
    <row r="8" spans="1:16" ht="17.25" customHeight="1" x14ac:dyDescent="0.25">
      <c r="A8" s="2" t="s">
        <v>9</v>
      </c>
      <c r="B8" s="2"/>
      <c r="C8" s="2">
        <v>600</v>
      </c>
      <c r="D8" s="2">
        <v>4</v>
      </c>
      <c r="E8" s="2">
        <f t="shared" si="0"/>
        <v>2400</v>
      </c>
      <c r="N8">
        <v>5</v>
      </c>
      <c r="O8" s="3" t="s">
        <v>68</v>
      </c>
    </row>
    <row r="9" spans="1:16" ht="17.25" customHeight="1" x14ac:dyDescent="0.25">
      <c r="A9" s="2" t="s">
        <v>10</v>
      </c>
      <c r="B9" s="2"/>
      <c r="C9" s="2">
        <v>700</v>
      </c>
      <c r="D9" s="2">
        <v>6</v>
      </c>
      <c r="E9" s="2">
        <f t="shared" si="0"/>
        <v>4200</v>
      </c>
    </row>
    <row r="10" spans="1:16" ht="17.25" customHeight="1" x14ac:dyDescent="0.25">
      <c r="A10" s="2" t="s">
        <v>11</v>
      </c>
      <c r="B10" s="2"/>
      <c r="C10" s="2">
        <v>800</v>
      </c>
      <c r="D10" s="2">
        <v>8</v>
      </c>
      <c r="E10" s="2">
        <f t="shared" si="0"/>
        <v>6400</v>
      </c>
      <c r="N10" s="26" t="s">
        <v>70</v>
      </c>
    </row>
    <row r="11" spans="1:16" ht="17.25" customHeight="1" thickBot="1" x14ac:dyDescent="0.3">
      <c r="A11" s="2" t="s">
        <v>12</v>
      </c>
      <c r="B11" s="2"/>
      <c r="C11" s="2">
        <v>900</v>
      </c>
      <c r="D11" s="2">
        <v>10</v>
      </c>
      <c r="E11" s="6">
        <f t="shared" si="0"/>
        <v>9000</v>
      </c>
      <c r="N11">
        <v>1</v>
      </c>
      <c r="O11" s="3" t="s">
        <v>71</v>
      </c>
    </row>
    <row r="12" spans="1:16" ht="15.75" thickBot="1" x14ac:dyDescent="0.3">
      <c r="D12" s="1" t="s">
        <v>14</v>
      </c>
      <c r="E12" s="7">
        <f>SUM(E3:E11)</f>
        <v>48470</v>
      </c>
      <c r="N12">
        <v>2</v>
      </c>
      <c r="O12" s="3" t="s">
        <v>72</v>
      </c>
    </row>
    <row r="13" spans="1:16" ht="15.75" thickBot="1" x14ac:dyDescent="0.3">
      <c r="D13" s="8" t="s">
        <v>15</v>
      </c>
      <c r="E13" s="7">
        <f>E12*0.95</f>
        <v>46046.5</v>
      </c>
      <c r="N13">
        <v>3</v>
      </c>
      <c r="O13" s="3" t="s">
        <v>73</v>
      </c>
    </row>
    <row r="14" spans="1:16" x14ac:dyDescent="0.25">
      <c r="N14">
        <v>4</v>
      </c>
      <c r="O14" s="3" t="s">
        <v>74</v>
      </c>
    </row>
    <row r="15" spans="1:16" x14ac:dyDescent="0.25">
      <c r="N15">
        <v>5</v>
      </c>
      <c r="O15" s="3" t="s">
        <v>75</v>
      </c>
    </row>
    <row r="17" spans="14:15" x14ac:dyDescent="0.25">
      <c r="N17" s="26" t="s">
        <v>78</v>
      </c>
    </row>
    <row r="18" spans="14:15" x14ac:dyDescent="0.25">
      <c r="O18" s="3" t="s">
        <v>79</v>
      </c>
    </row>
    <row r="19" spans="14:15" x14ac:dyDescent="0.25">
      <c r="O19" s="3" t="s">
        <v>77</v>
      </c>
    </row>
    <row r="20" spans="14:15" x14ac:dyDescent="0.25">
      <c r="O20" s="3" t="s">
        <v>80</v>
      </c>
    </row>
    <row r="21" spans="14:15" x14ac:dyDescent="0.25">
      <c r="N21" s="26" t="s">
        <v>81</v>
      </c>
    </row>
    <row r="22" spans="14:15" x14ac:dyDescent="0.25">
      <c r="O22" s="3" t="s">
        <v>82</v>
      </c>
    </row>
  </sheetData>
  <phoneticPr fontId="3" type="noConversion"/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DF261-DBA6-45E1-9FA2-E7FCEE104D85}">
  <dimension ref="A1:N14"/>
  <sheetViews>
    <sheetView workbookViewId="0">
      <selection activeCell="G12" sqref="G12"/>
    </sheetView>
  </sheetViews>
  <sheetFormatPr defaultRowHeight="15" x14ac:dyDescent="0.25"/>
  <sheetData>
    <row r="1" spans="1:14" ht="27" thickBot="1" x14ac:dyDescent="0.45">
      <c r="K1" s="9" t="s">
        <v>17</v>
      </c>
    </row>
    <row r="2" spans="1:14" ht="15.75" thickBot="1" x14ac:dyDescent="0.3">
      <c r="B2" t="s">
        <v>90</v>
      </c>
      <c r="D2" s="7">
        <f>SUMPRODUCT('9. карт_в прим'!C3:C11,'9. карт_в прим'!D3:D11)</f>
        <v>48470</v>
      </c>
    </row>
    <row r="3" spans="1:14" ht="15.75" x14ac:dyDescent="0.25">
      <c r="L3" s="27" t="s">
        <v>37</v>
      </c>
      <c r="M3" s="24"/>
    </row>
    <row r="4" spans="1:14" ht="15.75" x14ac:dyDescent="0.25">
      <c r="A4" s="5" t="s">
        <v>13</v>
      </c>
      <c r="D4">
        <f>SUMPRODUCT('9. карт_в прим'!C3:C11,'9. карт_в прим'!D3:D11)*0.95</f>
        <v>46046.5</v>
      </c>
      <c r="F4" s="3" t="s">
        <v>16</v>
      </c>
      <c r="M4" s="24" t="s">
        <v>38</v>
      </c>
    </row>
    <row r="5" spans="1:14" x14ac:dyDescent="0.25">
      <c r="M5" s="3" t="s">
        <v>16</v>
      </c>
    </row>
    <row r="7" spans="1:14" ht="15.75" x14ac:dyDescent="0.25">
      <c r="L7" s="27" t="s">
        <v>85</v>
      </c>
    </row>
    <row r="8" spans="1:14" ht="15.75" x14ac:dyDescent="0.25">
      <c r="L8">
        <v>1</v>
      </c>
      <c r="M8" s="25" t="s">
        <v>84</v>
      </c>
    </row>
    <row r="9" spans="1:14" x14ac:dyDescent="0.25">
      <c r="L9">
        <v>2</v>
      </c>
      <c r="M9" s="3" t="s">
        <v>36</v>
      </c>
    </row>
    <row r="10" spans="1:14" x14ac:dyDescent="0.25">
      <c r="L10">
        <v>3</v>
      </c>
      <c r="M10" s="3" t="s">
        <v>86</v>
      </c>
    </row>
    <row r="11" spans="1:14" x14ac:dyDescent="0.25">
      <c r="N11" s="3" t="s">
        <v>87</v>
      </c>
    </row>
    <row r="12" spans="1:14" x14ac:dyDescent="0.25">
      <c r="N12" s="3" t="s">
        <v>91</v>
      </c>
    </row>
    <row r="13" spans="1:14" x14ac:dyDescent="0.25">
      <c r="L13">
        <v>4</v>
      </c>
      <c r="M13" s="3" t="s">
        <v>88</v>
      </c>
    </row>
    <row r="14" spans="1:14" x14ac:dyDescent="0.25">
      <c r="L14">
        <v>5</v>
      </c>
      <c r="M14" s="3" t="s">
        <v>89</v>
      </c>
    </row>
  </sheetData>
  <pageMargins left="0.7" right="0.7" top="0.75" bottom="0.75" header="0.3" footer="0.3"/>
  <cellWatches>
    <cellWatch r="D2"/>
  </cellWatche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C8F65-161F-48A5-BBF3-FA3B4D347444}">
  <dimension ref="A2:L22"/>
  <sheetViews>
    <sheetView workbookViewId="0">
      <selection activeCell="M16" sqref="M16"/>
    </sheetView>
  </sheetViews>
  <sheetFormatPr defaultRowHeight="15" x14ac:dyDescent="0.25"/>
  <sheetData>
    <row r="2" spans="1:12" ht="16.5" x14ac:dyDescent="0.25">
      <c r="A2" s="30" t="s">
        <v>32</v>
      </c>
    </row>
    <row r="4" spans="1:12" ht="15.75" x14ac:dyDescent="0.25">
      <c r="A4" s="19" t="s">
        <v>33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</row>
    <row r="5" spans="1:12" ht="15.75" x14ac:dyDescent="0.25">
      <c r="A5" s="32" t="s">
        <v>48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</row>
    <row r="6" spans="1:12" ht="15.75" x14ac:dyDescent="0.25">
      <c r="B6" s="31" t="s">
        <v>50</v>
      </c>
      <c r="C6" s="22"/>
      <c r="D6" s="22"/>
      <c r="E6" s="22"/>
      <c r="F6" s="22"/>
      <c r="G6" s="22"/>
      <c r="H6" s="22"/>
      <c r="I6" s="22"/>
      <c r="J6" s="22"/>
      <c r="K6" s="22"/>
      <c r="L6" s="22"/>
    </row>
    <row r="7" spans="1:12" ht="15.75" x14ac:dyDescent="0.25">
      <c r="B7" s="31" t="s">
        <v>51</v>
      </c>
      <c r="C7" s="22"/>
      <c r="D7" s="22"/>
      <c r="E7" s="22"/>
      <c r="F7" s="22"/>
      <c r="G7" s="22"/>
      <c r="H7" s="22"/>
      <c r="I7" s="22"/>
      <c r="J7" s="22"/>
      <c r="K7" s="22"/>
      <c r="L7" s="22"/>
    </row>
    <row r="8" spans="1:12" ht="15.75" x14ac:dyDescent="0.25">
      <c r="A8" s="33" t="s">
        <v>76</v>
      </c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spans="1:12" ht="15.75" x14ac:dyDescent="0.25">
      <c r="A9" s="21"/>
      <c r="B9" s="35" t="s">
        <v>83</v>
      </c>
      <c r="C9" s="35"/>
      <c r="D9" s="35"/>
      <c r="E9" s="35"/>
      <c r="F9" s="35"/>
      <c r="G9" s="35"/>
      <c r="H9" s="35"/>
      <c r="I9" s="35"/>
      <c r="J9" s="35"/>
      <c r="K9" s="35"/>
      <c r="L9" s="35"/>
    </row>
    <row r="10" spans="1:12" ht="15.75" x14ac:dyDescent="0.25">
      <c r="A10" s="22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</row>
    <row r="11" spans="1:12" ht="15.75" x14ac:dyDescent="0.25">
      <c r="A11" s="22"/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</row>
    <row r="12" spans="1:12" ht="15.75" x14ac:dyDescent="0.25">
      <c r="A12" s="22"/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</row>
    <row r="13" spans="1:12" ht="15.75" x14ac:dyDescent="0.25">
      <c r="A13" s="34" t="s">
        <v>49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</row>
    <row r="14" spans="1:12" ht="15.75" x14ac:dyDescent="0.25">
      <c r="A14" s="22"/>
      <c r="B14" s="35" t="s">
        <v>35</v>
      </c>
      <c r="C14" s="35"/>
      <c r="D14" s="35"/>
      <c r="E14" s="35"/>
      <c r="F14" s="35"/>
      <c r="G14" s="35"/>
      <c r="H14" s="35"/>
      <c r="I14" s="35"/>
      <c r="J14" s="35"/>
      <c r="K14" s="35"/>
      <c r="L14" s="35"/>
    </row>
    <row r="15" spans="1:12" ht="15.75" x14ac:dyDescent="0.25">
      <c r="A15" s="22"/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</row>
    <row r="16" spans="1:12" ht="15.75" x14ac:dyDescent="0.25">
      <c r="A16" s="22"/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</row>
    <row r="17" spans="1:12" ht="15.75" x14ac:dyDescent="0.25">
      <c r="A17" s="22"/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</row>
    <row r="18" spans="1:12" ht="15.75" x14ac:dyDescent="0.25">
      <c r="A18" s="22"/>
      <c r="B18" s="35" t="s">
        <v>34</v>
      </c>
      <c r="C18" s="35"/>
      <c r="D18" s="35"/>
      <c r="E18" s="35"/>
      <c r="F18" s="35"/>
      <c r="G18" s="35"/>
      <c r="H18" s="35"/>
      <c r="I18" s="35"/>
      <c r="J18" s="35"/>
      <c r="K18" s="35"/>
      <c r="L18" s="35"/>
    </row>
    <row r="19" spans="1:12" ht="15.75" x14ac:dyDescent="0.25">
      <c r="A19" s="22"/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</row>
    <row r="20" spans="1:12" ht="15.75" x14ac:dyDescent="0.25">
      <c r="A20" s="22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</row>
    <row r="21" spans="1:12" ht="15.75" x14ac:dyDescent="0.25">
      <c r="A21" s="23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</row>
    <row r="22" spans="1:12" x14ac:dyDescent="0.25">
      <c r="A22" s="20"/>
    </row>
  </sheetData>
  <mergeCells count="3">
    <mergeCell ref="B9:L12"/>
    <mergeCell ref="B14:L17"/>
    <mergeCell ref="B18:L2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756B4-2F83-4324-A82B-7F834B0B2943}">
  <dimension ref="A1:K25"/>
  <sheetViews>
    <sheetView zoomScale="130" zoomScaleNormal="130" workbookViewId="0">
      <selection activeCell="H11" sqref="H11"/>
    </sheetView>
  </sheetViews>
  <sheetFormatPr defaultRowHeight="15" x14ac:dyDescent="0.25"/>
  <cols>
    <col min="1" max="1" width="16.7109375" style="11" customWidth="1"/>
    <col min="2" max="16384" width="9.140625" style="11"/>
  </cols>
  <sheetData>
    <row r="1" spans="1:11" ht="33.75" x14ac:dyDescent="0.65">
      <c r="A1" s="11" t="s">
        <v>23</v>
      </c>
      <c r="B1" s="11" t="s">
        <v>14</v>
      </c>
      <c r="K1" s="18" t="s">
        <v>24</v>
      </c>
    </row>
    <row r="2" spans="1:11" x14ac:dyDescent="0.25">
      <c r="A2" s="13" t="s">
        <v>20</v>
      </c>
      <c r="B2" s="13">
        <v>1200</v>
      </c>
    </row>
    <row r="3" spans="1:11" x14ac:dyDescent="0.25">
      <c r="A3" s="12" t="s">
        <v>22</v>
      </c>
      <c r="B3" s="12">
        <v>3500</v>
      </c>
      <c r="J3" s="11" t="s">
        <v>27</v>
      </c>
    </row>
    <row r="4" spans="1:11" x14ac:dyDescent="0.25">
      <c r="A4" s="13" t="s">
        <v>21</v>
      </c>
      <c r="B4" s="13">
        <v>5000</v>
      </c>
    </row>
    <row r="5" spans="1:11" x14ac:dyDescent="0.25">
      <c r="A5" s="12" t="s">
        <v>20</v>
      </c>
      <c r="B5" s="12">
        <v>1200</v>
      </c>
      <c r="J5" s="36" t="s">
        <v>92</v>
      </c>
    </row>
    <row r="6" spans="1:11" x14ac:dyDescent="0.25">
      <c r="A6" s="13" t="s">
        <v>19</v>
      </c>
      <c r="B6" s="13">
        <v>25000</v>
      </c>
    </row>
    <row r="7" spans="1:11" x14ac:dyDescent="0.25">
      <c r="A7" s="12" t="s">
        <v>18</v>
      </c>
      <c r="B7" s="12">
        <v>4500</v>
      </c>
    </row>
    <row r="15" spans="1:11" x14ac:dyDescent="0.25">
      <c r="A15"/>
      <c r="B15"/>
      <c r="C15"/>
    </row>
    <row r="16" spans="1:11" x14ac:dyDescent="0.25">
      <c r="A16"/>
      <c r="B16"/>
      <c r="C16"/>
    </row>
    <row r="17" spans="1:3" x14ac:dyDescent="0.25">
      <c r="A17"/>
      <c r="B17"/>
      <c r="C17"/>
    </row>
    <row r="18" spans="1:3" x14ac:dyDescent="0.25">
      <c r="A18"/>
      <c r="B18"/>
      <c r="C18"/>
    </row>
    <row r="19" spans="1:3" x14ac:dyDescent="0.25">
      <c r="A19"/>
      <c r="B19"/>
      <c r="C19"/>
    </row>
    <row r="20" spans="1:3" x14ac:dyDescent="0.25">
      <c r="A20"/>
      <c r="B20"/>
      <c r="C20"/>
    </row>
    <row r="21" spans="1:3" x14ac:dyDescent="0.25">
      <c r="A21"/>
      <c r="B21"/>
      <c r="C21"/>
    </row>
    <row r="22" spans="1:3" x14ac:dyDescent="0.25">
      <c r="A22"/>
      <c r="B22"/>
      <c r="C22"/>
    </row>
    <row r="23" spans="1:3" x14ac:dyDescent="0.25">
      <c r="A23"/>
      <c r="B23"/>
      <c r="C23"/>
    </row>
    <row r="24" spans="1:3" x14ac:dyDescent="0.25">
      <c r="A24"/>
      <c r="B24"/>
      <c r="C24"/>
    </row>
    <row r="25" spans="1:3" x14ac:dyDescent="0.25">
      <c r="A25"/>
      <c r="B25"/>
      <c r="C2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FF6879-64A5-4646-AA3B-7179C9BAD29B}">
  <dimension ref="A1:K7"/>
  <sheetViews>
    <sheetView workbookViewId="0">
      <selection activeCell="B3" sqref="B3"/>
    </sheetView>
  </sheetViews>
  <sheetFormatPr defaultRowHeight="15" x14ac:dyDescent="0.25"/>
  <cols>
    <col min="1" max="1" width="14.42578125" style="11" customWidth="1"/>
    <col min="2" max="16384" width="9.140625" style="11"/>
  </cols>
  <sheetData>
    <row r="1" spans="1:11" ht="33.75" x14ac:dyDescent="0.65">
      <c r="A1" s="16" t="s">
        <v>23</v>
      </c>
      <c r="B1" s="16" t="s">
        <v>14</v>
      </c>
      <c r="K1" s="18" t="s">
        <v>25</v>
      </c>
    </row>
    <row r="2" spans="1:11" x14ac:dyDescent="0.25">
      <c r="A2" s="15" t="s">
        <v>20</v>
      </c>
      <c r="B2" s="15">
        <v>5200</v>
      </c>
    </row>
    <row r="3" spans="1:11" x14ac:dyDescent="0.25">
      <c r="A3" s="14" t="s">
        <v>22</v>
      </c>
      <c r="B3" s="14">
        <v>8500</v>
      </c>
    </row>
    <row r="4" spans="1:11" x14ac:dyDescent="0.25">
      <c r="A4" s="15" t="s">
        <v>21</v>
      </c>
      <c r="B4" s="15">
        <v>1000</v>
      </c>
    </row>
    <row r="5" spans="1:11" x14ac:dyDescent="0.25">
      <c r="A5" s="14" t="s">
        <v>20</v>
      </c>
      <c r="B5" s="14">
        <v>6200</v>
      </c>
    </row>
    <row r="6" spans="1:11" x14ac:dyDescent="0.25">
      <c r="A6" s="15" t="s">
        <v>19</v>
      </c>
      <c r="B6" s="15">
        <v>75000</v>
      </c>
    </row>
    <row r="7" spans="1:11" x14ac:dyDescent="0.25">
      <c r="A7" s="14" t="s">
        <v>18</v>
      </c>
      <c r="B7" s="14">
        <v>9500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3E97F-4527-4E4D-A066-D094C9BB00C9}">
  <dimension ref="A1:K7"/>
  <sheetViews>
    <sheetView workbookViewId="0">
      <selection activeCell="B3" sqref="B3"/>
    </sheetView>
  </sheetViews>
  <sheetFormatPr defaultRowHeight="15" x14ac:dyDescent="0.25"/>
  <cols>
    <col min="1" max="1" width="13.28515625" style="11" customWidth="1"/>
    <col min="2" max="16384" width="9.140625" style="11"/>
  </cols>
  <sheetData>
    <row r="1" spans="1:11" ht="33.75" x14ac:dyDescent="0.65">
      <c r="A1" s="17" t="s">
        <v>23</v>
      </c>
      <c r="B1" s="17" t="s">
        <v>14</v>
      </c>
      <c r="K1" s="18" t="s">
        <v>26</v>
      </c>
    </row>
    <row r="2" spans="1:11" x14ac:dyDescent="0.25">
      <c r="A2" s="15" t="s">
        <v>20</v>
      </c>
      <c r="B2" s="15">
        <v>4200</v>
      </c>
    </row>
    <row r="3" spans="1:11" x14ac:dyDescent="0.25">
      <c r="A3" s="14" t="s">
        <v>22</v>
      </c>
      <c r="B3" s="14">
        <v>3500</v>
      </c>
    </row>
    <row r="4" spans="1:11" x14ac:dyDescent="0.25">
      <c r="A4" s="15" t="s">
        <v>21</v>
      </c>
      <c r="B4" s="15">
        <v>5500</v>
      </c>
    </row>
    <row r="5" spans="1:11" x14ac:dyDescent="0.25">
      <c r="A5" s="14" t="s">
        <v>20</v>
      </c>
      <c r="B5" s="14">
        <v>1200</v>
      </c>
    </row>
    <row r="6" spans="1:11" x14ac:dyDescent="0.25">
      <c r="A6" s="15" t="s">
        <v>19</v>
      </c>
      <c r="B6" s="15">
        <v>500000</v>
      </c>
    </row>
    <row r="7" spans="1:11" x14ac:dyDescent="0.25">
      <c r="A7" s="14" t="s">
        <v>18</v>
      </c>
      <c r="B7" s="14">
        <v>45000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539C7-588C-476A-AC27-B1F2DF5041E2}">
  <dimension ref="I1:J20"/>
  <sheetViews>
    <sheetView workbookViewId="0">
      <selection activeCell="E21" sqref="E21"/>
    </sheetView>
  </sheetViews>
  <sheetFormatPr defaultRowHeight="15" x14ac:dyDescent="0.25"/>
  <cols>
    <col min="1" max="1" width="18.140625" customWidth="1"/>
    <col min="2" max="2" width="9.28515625" customWidth="1"/>
  </cols>
  <sheetData>
    <row r="1" spans="9:10" ht="33.75" x14ac:dyDescent="0.65">
      <c r="J1" s="18" t="s">
        <v>55</v>
      </c>
    </row>
    <row r="4" spans="9:10" ht="15.75" x14ac:dyDescent="0.25">
      <c r="I4" s="27" t="s">
        <v>47</v>
      </c>
    </row>
    <row r="5" spans="9:10" ht="15.75" x14ac:dyDescent="0.25">
      <c r="J5" s="24" t="s">
        <v>56</v>
      </c>
    </row>
    <row r="6" spans="9:10" ht="15.75" x14ac:dyDescent="0.25">
      <c r="J6" s="24" t="s">
        <v>53</v>
      </c>
    </row>
    <row r="7" spans="9:10" ht="15.75" x14ac:dyDescent="0.25">
      <c r="J7" s="24" t="s">
        <v>57</v>
      </c>
    </row>
    <row r="8" spans="9:10" ht="15.75" x14ac:dyDescent="0.25">
      <c r="I8" s="27" t="s">
        <v>43</v>
      </c>
    </row>
    <row r="9" spans="9:10" ht="15.75" x14ac:dyDescent="0.25">
      <c r="I9">
        <v>1</v>
      </c>
      <c r="J9" s="24" t="s">
        <v>60</v>
      </c>
    </row>
    <row r="10" spans="9:10" ht="15.75" x14ac:dyDescent="0.25">
      <c r="I10">
        <v>2</v>
      </c>
      <c r="J10" s="25" t="s">
        <v>52</v>
      </c>
    </row>
    <row r="11" spans="9:10" ht="15.75" x14ac:dyDescent="0.25">
      <c r="I11">
        <v>3</v>
      </c>
      <c r="J11" s="25" t="s">
        <v>54</v>
      </c>
    </row>
    <row r="12" spans="9:10" ht="15.75" x14ac:dyDescent="0.25">
      <c r="I12">
        <v>4</v>
      </c>
      <c r="J12" s="25" t="s">
        <v>59</v>
      </c>
    </row>
    <row r="13" spans="9:10" ht="15.75" x14ac:dyDescent="0.25">
      <c r="I13">
        <v>5</v>
      </c>
      <c r="J13" s="25" t="s">
        <v>61</v>
      </c>
    </row>
    <row r="14" spans="9:10" ht="15.75" x14ac:dyDescent="0.25">
      <c r="I14">
        <v>6</v>
      </c>
      <c r="J14" s="25" t="s">
        <v>62</v>
      </c>
    </row>
    <row r="19" spans="9:9" ht="15.75" x14ac:dyDescent="0.25">
      <c r="I19" s="24" t="s">
        <v>58</v>
      </c>
    </row>
    <row r="20" spans="9:9" ht="15.75" x14ac:dyDescent="0.25">
      <c r="I20" s="24" t="s">
        <v>63</v>
      </c>
    </row>
  </sheetData>
  <dataConsolidate leftLabels="1" topLabels="1">
    <dataRefs count="3">
      <dataRef ref="A1:B7" sheet="казань"/>
      <dataRef ref="A1:B7" sheet="москва"/>
      <dataRef ref="A1:B7" sheet="питер"/>
    </dataRefs>
  </dataConsolid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D9149-C401-47CA-981C-10A6BFF13FCD}">
  <dimension ref="A1:L10"/>
  <sheetViews>
    <sheetView tabSelected="1" workbookViewId="0">
      <selection activeCell="D15" sqref="D15"/>
    </sheetView>
  </sheetViews>
  <sheetFormatPr defaultRowHeight="15" x14ac:dyDescent="0.25"/>
  <cols>
    <col min="1" max="1" width="11.42578125" customWidth="1"/>
    <col min="3" max="3" width="10.42578125" customWidth="1"/>
    <col min="4" max="4" width="10.5703125" customWidth="1"/>
  </cols>
  <sheetData>
    <row r="1" spans="1:12" ht="18.75" x14ac:dyDescent="0.25">
      <c r="A1" s="2" t="s">
        <v>23</v>
      </c>
      <c r="B1" s="2" t="s">
        <v>14</v>
      </c>
      <c r="C1" s="2" t="s">
        <v>30</v>
      </c>
      <c r="D1" s="2" t="s">
        <v>28</v>
      </c>
      <c r="E1" s="2" t="s">
        <v>29</v>
      </c>
      <c r="K1" s="28" t="s">
        <v>41</v>
      </c>
    </row>
    <row r="2" spans="1:12" ht="15.75" x14ac:dyDescent="0.25">
      <c r="A2" s="2" t="s">
        <v>20</v>
      </c>
      <c r="B2" s="2">
        <v>1200</v>
      </c>
      <c r="C2" s="2">
        <v>22</v>
      </c>
      <c r="D2" s="2">
        <v>8</v>
      </c>
      <c r="E2" s="2"/>
      <c r="G2" s="3" t="s">
        <v>93</v>
      </c>
      <c r="K2" s="27"/>
    </row>
    <row r="3" spans="1:12" ht="15.75" x14ac:dyDescent="0.25">
      <c r="A3" s="2" t="s">
        <v>22</v>
      </c>
      <c r="B3" s="2">
        <v>3500</v>
      </c>
      <c r="C3" s="2">
        <v>25</v>
      </c>
      <c r="D3" s="2">
        <v>10</v>
      </c>
      <c r="E3" s="2"/>
      <c r="K3" s="27" t="s">
        <v>47</v>
      </c>
    </row>
    <row r="4" spans="1:12" ht="15.75" x14ac:dyDescent="0.25">
      <c r="A4" s="2" t="s">
        <v>21</v>
      </c>
      <c r="B4" s="2">
        <v>5000</v>
      </c>
      <c r="C4" s="2">
        <v>26</v>
      </c>
      <c r="D4" s="2">
        <v>9</v>
      </c>
      <c r="E4" s="2"/>
      <c r="K4" s="24" t="s">
        <v>39</v>
      </c>
    </row>
    <row r="5" spans="1:12" ht="15.75" x14ac:dyDescent="0.25">
      <c r="A5" s="2" t="s">
        <v>31</v>
      </c>
      <c r="B5" s="2">
        <v>1200</v>
      </c>
      <c r="C5" s="2">
        <v>28</v>
      </c>
      <c r="D5" s="2">
        <v>14</v>
      </c>
      <c r="E5" s="2"/>
      <c r="K5" s="24" t="s">
        <v>46</v>
      </c>
    </row>
    <row r="6" spans="1:12" ht="15.75" x14ac:dyDescent="0.25">
      <c r="A6" s="2" t="s">
        <v>19</v>
      </c>
      <c r="B6" s="2">
        <v>25000</v>
      </c>
      <c r="C6" s="2">
        <v>25</v>
      </c>
      <c r="D6" s="2">
        <v>16</v>
      </c>
      <c r="E6" s="2"/>
      <c r="K6" s="24" t="s">
        <v>40</v>
      </c>
    </row>
    <row r="7" spans="1:12" ht="15.75" x14ac:dyDescent="0.25">
      <c r="A7" s="2" t="s">
        <v>18</v>
      </c>
      <c r="B7" s="2">
        <v>4500</v>
      </c>
      <c r="C7" s="2">
        <v>45</v>
      </c>
      <c r="D7" s="2">
        <v>17</v>
      </c>
      <c r="E7" s="2"/>
      <c r="K7" s="27" t="s">
        <v>43</v>
      </c>
    </row>
    <row r="8" spans="1:12" ht="15.75" x14ac:dyDescent="0.25">
      <c r="K8">
        <v>1</v>
      </c>
      <c r="L8" s="29" t="s">
        <v>42</v>
      </c>
    </row>
    <row r="9" spans="1:12" ht="15.75" x14ac:dyDescent="0.25">
      <c r="K9">
        <v>2</v>
      </c>
      <c r="L9" s="29" t="s">
        <v>44</v>
      </c>
    </row>
    <row r="10" spans="1:12" ht="15.75" x14ac:dyDescent="0.25">
      <c r="K10">
        <v>3</v>
      </c>
      <c r="L10" s="29" t="s">
        <v>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6C7D1C-66AB-4257-8A1E-36A2FF93AB7E}">
  <dimension ref="A1:E7"/>
  <sheetViews>
    <sheetView workbookViewId="0">
      <selection activeCell="E2" sqref="E2:E7"/>
    </sheetView>
  </sheetViews>
  <sheetFormatPr defaultRowHeight="15" x14ac:dyDescent="0.25"/>
  <cols>
    <col min="1" max="1" width="12.28515625" customWidth="1"/>
  </cols>
  <sheetData>
    <row r="1" spans="1:5" x14ac:dyDescent="0.25">
      <c r="A1" s="2" t="s">
        <v>23</v>
      </c>
      <c r="B1" s="2" t="s">
        <v>14</v>
      </c>
      <c r="C1" s="2" t="s">
        <v>30</v>
      </c>
      <c r="D1" s="2" t="s">
        <v>28</v>
      </c>
      <c r="E1" s="2" t="s">
        <v>29</v>
      </c>
    </row>
    <row r="2" spans="1:5" x14ac:dyDescent="0.25">
      <c r="A2" s="2" t="s">
        <v>20</v>
      </c>
      <c r="B2" s="2">
        <v>1200</v>
      </c>
      <c r="C2" s="2">
        <v>15</v>
      </c>
      <c r="D2" s="2">
        <v>5</v>
      </c>
      <c r="E2" s="2"/>
    </row>
    <row r="3" spans="1:5" x14ac:dyDescent="0.25">
      <c r="A3" s="2" t="s">
        <v>22</v>
      </c>
      <c r="B3" s="2">
        <v>3500</v>
      </c>
      <c r="C3" s="2">
        <v>25</v>
      </c>
      <c r="D3" s="2">
        <v>10</v>
      </c>
      <c r="E3" s="2"/>
    </row>
    <row r="4" spans="1:5" x14ac:dyDescent="0.25">
      <c r="A4" s="2" t="s">
        <v>21</v>
      </c>
      <c r="B4" s="2">
        <v>5000</v>
      </c>
      <c r="C4" s="2">
        <v>23</v>
      </c>
      <c r="D4" s="2">
        <v>9</v>
      </c>
      <c r="E4" s="2"/>
    </row>
    <row r="5" spans="1:5" x14ac:dyDescent="0.25">
      <c r="A5" s="2" t="s">
        <v>31</v>
      </c>
      <c r="B5" s="2">
        <v>1200</v>
      </c>
      <c r="C5" s="2">
        <v>27</v>
      </c>
      <c r="D5" s="2">
        <v>11</v>
      </c>
      <c r="E5" s="2"/>
    </row>
    <row r="6" spans="1:5" x14ac:dyDescent="0.25">
      <c r="A6" s="2" t="s">
        <v>19</v>
      </c>
      <c r="B6" s="2">
        <v>25000</v>
      </c>
      <c r="C6" s="2">
        <v>25</v>
      </c>
      <c r="D6" s="2">
        <v>13</v>
      </c>
      <c r="E6" s="2"/>
    </row>
    <row r="7" spans="1:5" x14ac:dyDescent="0.25">
      <c r="A7" s="2" t="s">
        <v>18</v>
      </c>
      <c r="B7" s="2">
        <v>4500</v>
      </c>
      <c r="C7" s="2">
        <v>35</v>
      </c>
      <c r="D7" s="2">
        <v>17</v>
      </c>
      <c r="E7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8C930-BA04-4201-B128-E83549BC8C3E}">
  <dimension ref="A1:E7"/>
  <sheetViews>
    <sheetView workbookViewId="0">
      <selection activeCell="E2" sqref="E2:E7"/>
    </sheetView>
  </sheetViews>
  <sheetFormatPr defaultRowHeight="15" x14ac:dyDescent="0.25"/>
  <cols>
    <col min="1" max="1" width="13" customWidth="1"/>
  </cols>
  <sheetData>
    <row r="1" spans="1:5" x14ac:dyDescent="0.25">
      <c r="A1" s="2" t="s">
        <v>23</v>
      </c>
      <c r="B1" s="2" t="s">
        <v>14</v>
      </c>
      <c r="C1" s="2" t="s">
        <v>30</v>
      </c>
      <c r="D1" s="2" t="s">
        <v>28</v>
      </c>
      <c r="E1" s="2" t="s">
        <v>29</v>
      </c>
    </row>
    <row r="2" spans="1:5" x14ac:dyDescent="0.25">
      <c r="A2" s="2" t="s">
        <v>20</v>
      </c>
      <c r="B2" s="2">
        <v>1200</v>
      </c>
      <c r="C2" s="2">
        <v>23</v>
      </c>
      <c r="D2" s="2">
        <v>9</v>
      </c>
      <c r="E2" s="2"/>
    </row>
    <row r="3" spans="1:5" x14ac:dyDescent="0.25">
      <c r="A3" s="2" t="s">
        <v>22</v>
      </c>
      <c r="B3" s="2">
        <v>3500</v>
      </c>
      <c r="C3" s="2">
        <v>25</v>
      </c>
      <c r="D3" s="2">
        <v>10</v>
      </c>
      <c r="E3" s="2"/>
    </row>
    <row r="4" spans="1:5" x14ac:dyDescent="0.25">
      <c r="A4" s="2" t="s">
        <v>21</v>
      </c>
      <c r="B4" s="2">
        <v>5000</v>
      </c>
      <c r="C4" s="2">
        <v>31</v>
      </c>
      <c r="D4" s="2">
        <v>9</v>
      </c>
      <c r="E4" s="2"/>
    </row>
    <row r="5" spans="1:5" x14ac:dyDescent="0.25">
      <c r="A5" s="2" t="s">
        <v>31</v>
      </c>
      <c r="B5" s="2">
        <v>1200</v>
      </c>
      <c r="C5" s="2">
        <v>35</v>
      </c>
      <c r="D5" s="2">
        <v>18</v>
      </c>
      <c r="E5" s="2"/>
    </row>
    <row r="6" spans="1:5" x14ac:dyDescent="0.25">
      <c r="A6" s="2" t="s">
        <v>19</v>
      </c>
      <c r="B6" s="2">
        <v>25000</v>
      </c>
      <c r="C6" s="2">
        <v>25</v>
      </c>
      <c r="D6" s="2">
        <v>21</v>
      </c>
      <c r="E6" s="2"/>
    </row>
    <row r="7" spans="1:5" x14ac:dyDescent="0.25">
      <c r="A7" s="2" t="s">
        <v>18</v>
      </c>
      <c r="B7" s="2">
        <v>4500</v>
      </c>
      <c r="C7" s="2">
        <v>43</v>
      </c>
      <c r="D7" s="2">
        <v>17</v>
      </c>
      <c r="E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9. карт_в прим</vt:lpstr>
      <vt:lpstr>10. окно_контр</vt:lpstr>
      <vt:lpstr>парам_вычислений</vt:lpstr>
      <vt:lpstr>москва</vt:lpstr>
      <vt:lpstr>казань</vt:lpstr>
      <vt:lpstr>питер</vt:lpstr>
      <vt:lpstr>консалид_филиалов</vt:lpstr>
      <vt:lpstr>Иванов</vt:lpstr>
      <vt:lpstr>Сидоров</vt:lpstr>
      <vt:lpstr>Петров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Dima</dc:creator>
  <cp:lastModifiedBy>Людмила Герськина</cp:lastModifiedBy>
  <cp:lastPrinted>2025-09-17T09:39:52Z</cp:lastPrinted>
  <dcterms:created xsi:type="dcterms:W3CDTF">2015-06-05T18:17:20Z</dcterms:created>
  <dcterms:modified xsi:type="dcterms:W3CDTF">2025-09-20T14:14:11Z</dcterms:modified>
</cp:coreProperties>
</file>