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D:\my_doc\Чтение лекций_дом\курс с 10.09  по 5.11\5_Excel_2\"/>
    </mc:Choice>
  </mc:AlternateContent>
  <xr:revisionPtr revIDLastSave="0" documentId="13_ncr:1_{E8FA1C1B-9E8E-494E-A073-2F4CD9103242}" xr6:coauthVersionLast="47" xr6:coauthVersionMax="47" xr10:uidLastSave="{00000000-0000-0000-0000-000000000000}"/>
  <bookViews>
    <workbookView xWindow="3150" yWindow="600" windowWidth="24300" windowHeight="14295" xr2:uid="{00000000-000D-0000-FFFF-FFFF00000000}"/>
  </bookViews>
  <sheets>
    <sheet name="1.обл.печ" sheetId="18" r:id="rId1"/>
    <sheet name="2.сквоз.стр.стол." sheetId="20" r:id="rId2"/>
    <sheet name="3.заполн.дат" sheetId="13" r:id="rId3"/>
    <sheet name="4.спец.встав" sheetId="15" r:id="rId4"/>
    <sheet name="5.раздел_столб" sheetId="22" r:id="rId5"/>
    <sheet name="6.мгнов.заполн." sheetId="14" r:id="rId6"/>
    <sheet name="7. дубликаты" sheetId="23" r:id="rId7"/>
    <sheet name="8.огр_ввода" sheetId="24" r:id="rId8"/>
  </sheets>
  <definedNames>
    <definedName name="_xlnm.Print_Titles" localSheetId="0">'1.обл.печ'!$A:$A,'1.обл.печ'!$8:$8</definedName>
    <definedName name="_xlnm.Print_Titles" localSheetId="1">'2.сквоз.стр.стол.'!$A:$A,'2.сквоз.стр.стол.'!$1:$1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4" l="1"/>
  <c r="E15" i="24"/>
  <c r="D14" i="24"/>
  <c r="E14" i="24" s="1"/>
  <c r="D13" i="24"/>
  <c r="E13" i="24" s="1"/>
  <c r="E12" i="24"/>
  <c r="D11" i="24"/>
  <c r="E11" i="24" s="1"/>
  <c r="D10" i="24"/>
  <c r="E10" i="24" s="1"/>
  <c r="D9" i="24"/>
  <c r="E9" i="24" s="1"/>
  <c r="D8" i="24"/>
  <c r="E8" i="24" s="1"/>
  <c r="D7" i="24"/>
  <c r="E7" i="24" s="1"/>
  <c r="D6" i="24"/>
  <c r="E6" i="24" s="1"/>
  <c r="E5" i="24"/>
  <c r="D5" i="24"/>
  <c r="D4" i="24"/>
  <c r="E4" i="24" s="1"/>
  <c r="D3" i="24"/>
  <c r="E3" i="24" s="1"/>
  <c r="D2" i="24"/>
  <c r="E2" i="24" s="1"/>
  <c r="D4" i="23"/>
  <c r="E4" i="23"/>
  <c r="D8" i="23"/>
  <c r="E8" i="23"/>
  <c r="D14" i="23"/>
  <c r="E14" i="23"/>
  <c r="E12" i="23"/>
  <c r="E15" i="23"/>
  <c r="D13" i="23"/>
  <c r="E13" i="23" s="1"/>
  <c r="D11" i="23"/>
  <c r="E11" i="23" s="1"/>
  <c r="D10" i="23"/>
  <c r="E10" i="23" s="1"/>
  <c r="D9" i="23"/>
  <c r="E9" i="23" s="1"/>
  <c r="D7" i="23"/>
  <c r="E7" i="23" s="1"/>
  <c r="D6" i="23"/>
  <c r="E6" i="23" s="1"/>
  <c r="D5" i="23"/>
  <c r="E5" i="23" s="1"/>
  <c r="D3" i="23"/>
  <c r="E3" i="23" s="1"/>
  <c r="D2" i="23"/>
  <c r="E2" i="23" s="1"/>
  <c r="G2" i="15"/>
  <c r="I62" i="18"/>
  <c r="J62" i="18"/>
  <c r="K62" i="18"/>
  <c r="L62" i="18"/>
  <c r="M62" i="18"/>
  <c r="N62" i="18"/>
  <c r="V61" i="18"/>
  <c r="V38" i="18"/>
  <c r="V39" i="18"/>
  <c r="V40" i="18"/>
  <c r="V41" i="18"/>
  <c r="V42" i="18"/>
  <c r="V43" i="18"/>
  <c r="V44" i="18"/>
  <c r="V45" i="18"/>
  <c r="V46" i="18"/>
  <c r="V47" i="18"/>
  <c r="V48" i="18"/>
  <c r="V49" i="18"/>
  <c r="F2" i="15"/>
  <c r="F3" i="15"/>
  <c r="F4" i="15"/>
  <c r="F5" i="15"/>
  <c r="F6" i="15"/>
  <c r="F7" i="15"/>
  <c r="F8" i="15"/>
  <c r="F9" i="15"/>
  <c r="F10" i="15"/>
  <c r="G3" i="15"/>
  <c r="G4" i="15"/>
  <c r="G5" i="15"/>
  <c r="G6" i="15"/>
  <c r="G7" i="15"/>
  <c r="G8" i="15"/>
  <c r="G9" i="15"/>
  <c r="G10" i="15"/>
  <c r="B3" i="18" l="1"/>
  <c r="V60" i="18"/>
  <c r="V59" i="18"/>
  <c r="V58" i="18"/>
  <c r="V57" i="18"/>
  <c r="V56" i="18"/>
  <c r="V55" i="18"/>
  <c r="V54" i="18"/>
  <c r="V53" i="18"/>
  <c r="V52" i="18"/>
  <c r="V51" i="18"/>
  <c r="V50" i="18"/>
  <c r="V37" i="18"/>
  <c r="V36" i="18"/>
  <c r="V35" i="18"/>
  <c r="V34" i="18"/>
  <c r="V33" i="18"/>
  <c r="V32" i="18"/>
  <c r="V31" i="18"/>
  <c r="V30" i="18"/>
  <c r="V29" i="18"/>
  <c r="V28" i="18"/>
  <c r="V27" i="18"/>
  <c r="V26" i="18"/>
  <c r="V25" i="18"/>
  <c r="B4" i="18" s="1"/>
  <c r="V24" i="18"/>
  <c r="V23" i="18"/>
  <c r="V22" i="18"/>
  <c r="V21" i="18"/>
  <c r="V20" i="18"/>
  <c r="V19" i="18"/>
  <c r="V18" i="18"/>
  <c r="V17" i="18"/>
  <c r="V16" i="18"/>
  <c r="V15" i="18"/>
  <c r="V14" i="18"/>
  <c r="V13" i="18"/>
  <c r="V12" i="18"/>
  <c r="V11" i="18"/>
  <c r="V10" i="18"/>
  <c r="V9" i="18"/>
  <c r="B2" i="18" s="1"/>
  <c r="S62" i="18"/>
  <c r="R62" i="18"/>
  <c r="Q62" i="18"/>
  <c r="P62" i="18"/>
  <c r="O62" i="18"/>
  <c r="H62" i="18"/>
  <c r="G62" i="18"/>
  <c r="F62" i="18"/>
  <c r="E62" i="18"/>
  <c r="D62" i="18"/>
  <c r="C62" i="18"/>
  <c r="V62" i="18" l="1"/>
  <c r="B5" i="18"/>
  <c r="C2" i="14"/>
</calcChain>
</file>

<file path=xl/sharedStrings.xml><?xml version="1.0" encoding="utf-8"?>
<sst xmlns="http://schemas.openxmlformats.org/spreadsheetml/2006/main" count="291" uniqueCount="171">
  <si>
    <t>Наименование</t>
  </si>
  <si>
    <t>Позиция 1</t>
  </si>
  <si>
    <t>Позиция 2</t>
  </si>
  <si>
    <t>Позиция 3</t>
  </si>
  <si>
    <t>Позиция 4</t>
  </si>
  <si>
    <t>Позиция 5</t>
  </si>
  <si>
    <t>Позиция 6</t>
  </si>
  <si>
    <t>Позиция 7</t>
  </si>
  <si>
    <t>Позиция 8</t>
  </si>
  <si>
    <t>Позиция 9</t>
  </si>
  <si>
    <t>Позиция 10</t>
  </si>
  <si>
    <t>Позиция 11</t>
  </si>
  <si>
    <t>Позиция 12</t>
  </si>
  <si>
    <t>Позиция 13</t>
  </si>
  <si>
    <t>Позиция 14</t>
  </si>
  <si>
    <t>Позиция 15</t>
  </si>
  <si>
    <t>Позиция 16</t>
  </si>
  <si>
    <t>Позиция 17</t>
  </si>
  <si>
    <t>Позиция 18</t>
  </si>
  <si>
    <t>Позиция 19</t>
  </si>
  <si>
    <t>Позиция 20</t>
  </si>
  <si>
    <t>Позиция 21</t>
  </si>
  <si>
    <t>Позиция 22</t>
  </si>
  <si>
    <t>Позиция 23</t>
  </si>
  <si>
    <t>Позиция 24</t>
  </si>
  <si>
    <t>Позиция 25</t>
  </si>
  <si>
    <t>Позиция 26</t>
  </si>
  <si>
    <t>Позиция 27</t>
  </si>
  <si>
    <t>Позиция 28</t>
  </si>
  <si>
    <t>Позиция 29</t>
  </si>
  <si>
    <t>Позиция 30</t>
  </si>
  <si>
    <t>Позиция 31</t>
  </si>
  <si>
    <t>Позиция 32</t>
  </si>
  <si>
    <t>Позиция 33</t>
  </si>
  <si>
    <t>Позиция 34</t>
  </si>
  <si>
    <t>Позиция 35</t>
  </si>
  <si>
    <t>Позиция 36</t>
  </si>
  <si>
    <t>Позиция 37</t>
  </si>
  <si>
    <t>Позиция 38</t>
  </si>
  <si>
    <t>Позиция 39</t>
  </si>
  <si>
    <t>Позиция 40</t>
  </si>
  <si>
    <t>Позиция 41</t>
  </si>
  <si>
    <t>Позиция 42</t>
  </si>
  <si>
    <t>Позиция 43</t>
  </si>
  <si>
    <t>Позиция 44</t>
  </si>
  <si>
    <t>Позиция 45</t>
  </si>
  <si>
    <t>Позиция 46</t>
  </si>
  <si>
    <t>Позиция 47</t>
  </si>
  <si>
    <t>Позиция 48</t>
  </si>
  <si>
    <t>Позиция 49</t>
  </si>
  <si>
    <t>Позиция 50</t>
  </si>
  <si>
    <t>Позиция 51</t>
  </si>
  <si>
    <t>Позиция 52</t>
  </si>
  <si>
    <t>Позиция 53</t>
  </si>
  <si>
    <t>Позиция 54</t>
  </si>
  <si>
    <t>Позиция 55</t>
  </si>
  <si>
    <t>Позиция 56</t>
  </si>
  <si>
    <t>Позиция 57</t>
  </si>
  <si>
    <t>Позиция 58</t>
  </si>
  <si>
    <t>Позиция 59</t>
  </si>
  <si>
    <t>Позиция 60</t>
  </si>
  <si>
    <t>Позиция 61</t>
  </si>
  <si>
    <t>Позиция 62</t>
  </si>
  <si>
    <t>Позиция 63</t>
  </si>
  <si>
    <t>Позиция 64</t>
  </si>
  <si>
    <t>Позиция 65</t>
  </si>
  <si>
    <t>Позиция 66</t>
  </si>
  <si>
    <t>Позиция 67</t>
  </si>
  <si>
    <t>Позиция 68</t>
  </si>
  <si>
    <t>Позиция 69</t>
  </si>
  <si>
    <t>Позиция 70</t>
  </si>
  <si>
    <t>Позиция 71</t>
  </si>
  <si>
    <t>Позиция 72</t>
  </si>
  <si>
    <t>Позиция 73</t>
  </si>
  <si>
    <t>Позиция 74</t>
  </si>
  <si>
    <t>Позиция 75</t>
  </si>
  <si>
    <t>Позиция 76</t>
  </si>
  <si>
    <t>Позиция 77</t>
  </si>
  <si>
    <t>Позиция 78</t>
  </si>
  <si>
    <t>Позиция 79</t>
  </si>
  <si>
    <t>Позиция 80</t>
  </si>
  <si>
    <t>Позиция 81</t>
  </si>
  <si>
    <t>Позиция 82</t>
  </si>
  <si>
    <t>Позиция 83</t>
  </si>
  <si>
    <t>Позиция 84</t>
  </si>
  <si>
    <t>Позиция 85</t>
  </si>
  <si>
    <t>Позиция 86</t>
  </si>
  <si>
    <t>Позиция 87</t>
  </si>
  <si>
    <t>Позиция 88</t>
  </si>
  <si>
    <t>Позиция 89</t>
  </si>
  <si>
    <t>Позиция 90</t>
  </si>
  <si>
    <t>Позиция 91</t>
  </si>
  <si>
    <t>Позиция 92</t>
  </si>
  <si>
    <t>Позиция 93</t>
  </si>
  <si>
    <t>Позиция 94</t>
  </si>
  <si>
    <t>Позиция 95</t>
  </si>
  <si>
    <t>Позиция 96</t>
  </si>
  <si>
    <t>Позиция 97</t>
  </si>
  <si>
    <t>Позиция 98</t>
  </si>
  <si>
    <t>Позиция 99</t>
  </si>
  <si>
    <t>Позиция 100</t>
  </si>
  <si>
    <t>Товар</t>
  </si>
  <si>
    <t>Товар 1</t>
  </si>
  <si>
    <t>Товар 3</t>
  </si>
  <si>
    <t>Товар 5</t>
  </si>
  <si>
    <t>Товар 6</t>
  </si>
  <si>
    <t>Товар 7</t>
  </si>
  <si>
    <t>Товар 8</t>
  </si>
  <si>
    <t>Итого</t>
  </si>
  <si>
    <t>ID</t>
  </si>
  <si>
    <t>Дата</t>
  </si>
  <si>
    <t>Рабочие дни</t>
  </si>
  <si>
    <t>ФИО</t>
  </si>
  <si>
    <t>Годы жизни</t>
  </si>
  <si>
    <t>Имя</t>
  </si>
  <si>
    <t>Фамилия и инициалы</t>
  </si>
  <si>
    <t>Произвольный текст</t>
  </si>
  <si>
    <t>1799-1837</t>
  </si>
  <si>
    <t>1814-1841</t>
  </si>
  <si>
    <t>1821-1881</t>
  </si>
  <si>
    <t>1828-1910</t>
  </si>
  <si>
    <t>1818-1883</t>
  </si>
  <si>
    <t>1809-1852</t>
  </si>
  <si>
    <t>1891-1940</t>
  </si>
  <si>
    <t>Пушкин А.С.</t>
  </si>
  <si>
    <t>Александр Пушкин родился в 1799 году, умер в 1837 году.</t>
  </si>
  <si>
    <t>Александр Сергеевич Пушкин</t>
  </si>
  <si>
    <t>Михаил Юрьевич Лермонтов</t>
  </si>
  <si>
    <t>Фёдор Михайлович Достоевский</t>
  </si>
  <si>
    <t>Лев Николаевич Толстой</t>
  </si>
  <si>
    <t>Иван Сергеевич Тургенев</t>
  </si>
  <si>
    <t>Николай Васильевич Гоголь</t>
  </si>
  <si>
    <t>Михаил Афанасьевич Булгаков</t>
  </si>
  <si>
    <t>Выручка</t>
  </si>
  <si>
    <t>Затраты</t>
  </si>
  <si>
    <t>Прибыль</t>
  </si>
  <si>
    <t>Рентабельность</t>
  </si>
  <si>
    <t>Отчет по продажах</t>
  </si>
  <si>
    <t>Название</t>
  </si>
  <si>
    <t>Группа</t>
  </si>
  <si>
    <t>A</t>
  </si>
  <si>
    <t>B</t>
  </si>
  <si>
    <t>C</t>
  </si>
  <si>
    <t>Продажи по группам</t>
  </si>
  <si>
    <t>Пушкин</t>
  </si>
  <si>
    <t>функция</t>
  </si>
  <si>
    <t>будет ошибка</t>
  </si>
  <si>
    <t>последн1</t>
  </si>
  <si>
    <t>послед2</t>
  </si>
  <si>
    <t>начало2</t>
  </si>
  <si>
    <t>все дни</t>
  </si>
  <si>
    <t>Александр Сергеевич Пушкин поэт</t>
  </si>
  <si>
    <t>Михаил Юрьевич Лермонтов поэт</t>
  </si>
  <si>
    <t>Фёдор Михайлович Достоевский писатель</t>
  </si>
  <si>
    <t>Лев Николаевич Толстой писатель</t>
  </si>
  <si>
    <t>Иван Сергеевич Тургенев писатель</t>
  </si>
  <si>
    <t>Николай Васильевич Гоголь писатель</t>
  </si>
  <si>
    <t>Михаил Афанасьевич Булгаков писатель</t>
  </si>
  <si>
    <t>id</t>
  </si>
  <si>
    <t>есть  дубликаты окрашены</t>
  </si>
  <si>
    <t>стр12  id =11</t>
  </si>
  <si>
    <t>стр15  id =8</t>
  </si>
  <si>
    <t>стр 8 все</t>
  </si>
  <si>
    <t>стр 4 все</t>
  </si>
  <si>
    <t>стр 14  все</t>
  </si>
  <si>
    <t>дата</t>
  </si>
  <si>
    <t>ограничения ввода в ячейку</t>
  </si>
  <si>
    <t>день</t>
  </si>
  <si>
    <t>"=ДЕНЬНЕД(F2;2)&lt;&gt;7</t>
  </si>
  <si>
    <t>G2= F2 в форматте ДДДД</t>
  </si>
  <si>
    <t>воскресенье не работаем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</si>
</sst>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\ dddd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5" fillId="0" borderId="1" applyNumberFormat="0" applyFill="0" applyAlignment="0" applyProtection="0"/>
    <xf numFmtId="0" fontId="6" fillId="0" borderId="0"/>
    <xf numFmtId="0" fontId="8" fillId="0" borderId="0" applyNumberFormat="0" applyFill="0" applyBorder="0" applyAlignment="0" applyProtection="0"/>
    <xf numFmtId="0" fontId="1" fillId="0" borderId="0"/>
  </cellStyleXfs>
  <cellXfs count="50">
    <xf numFmtId="0" fontId="0" fillId="0" borderId="0" xfId="0"/>
    <xf numFmtId="0" fontId="4" fillId="0" borderId="0" xfId="0" applyFont="1"/>
    <xf numFmtId="17" fontId="4" fillId="0" borderId="0" xfId="0" applyNumberFormat="1" applyFont="1"/>
    <xf numFmtId="0" fontId="6" fillId="0" borderId="0" xfId="0" applyFont="1"/>
    <xf numFmtId="14" fontId="0" fillId="0" borderId="0" xfId="0" applyNumberFormat="1"/>
    <xf numFmtId="0" fontId="6" fillId="0" borderId="0" xfId="3"/>
    <xf numFmtId="3" fontId="6" fillId="0" borderId="0" xfId="3" applyNumberFormat="1"/>
    <xf numFmtId="3" fontId="0" fillId="0" borderId="0" xfId="0" applyNumberFormat="1"/>
    <xf numFmtId="0" fontId="4" fillId="0" borderId="0" xfId="3" applyFont="1"/>
    <xf numFmtId="0" fontId="4" fillId="3" borderId="0" xfId="0" applyFont="1" applyFill="1"/>
    <xf numFmtId="3" fontId="6" fillId="3" borderId="0" xfId="0" applyNumberFormat="1" applyFont="1" applyFill="1"/>
    <xf numFmtId="0" fontId="0" fillId="0" borderId="0" xfId="0" applyAlignment="1">
      <alignment horizontal="centerContinuous"/>
    </xf>
    <xf numFmtId="0" fontId="5" fillId="0" borderId="0" xfId="2" applyBorder="1" applyAlignment="1">
      <alignment horizontal="centerContinuous"/>
    </xf>
    <xf numFmtId="0" fontId="4" fillId="0" borderId="2" xfId="0" applyFont="1" applyBorder="1"/>
    <xf numFmtId="0" fontId="0" fillId="0" borderId="2" xfId="0" applyBorder="1"/>
    <xf numFmtId="3" fontId="4" fillId="0" borderId="2" xfId="0" applyNumberFormat="1" applyFont="1" applyBorder="1"/>
    <xf numFmtId="0" fontId="4" fillId="0" borderId="3" xfId="0" applyFont="1" applyBorder="1"/>
    <xf numFmtId="0" fontId="0" fillId="0" borderId="3" xfId="0" applyBorder="1"/>
    <xf numFmtId="17" fontId="4" fillId="0" borderId="2" xfId="0" applyNumberFormat="1" applyFont="1" applyBorder="1"/>
    <xf numFmtId="17" fontId="4" fillId="0" borderId="3" xfId="0" applyNumberFormat="1" applyFont="1" applyBorder="1"/>
    <xf numFmtId="3" fontId="0" fillId="0" borderId="2" xfId="0" applyNumberFormat="1" applyBorder="1"/>
    <xf numFmtId="0" fontId="6" fillId="0" borderId="2" xfId="0" applyFont="1" applyBorder="1"/>
    <xf numFmtId="164" fontId="6" fillId="0" borderId="2" xfId="0" applyNumberFormat="1" applyFont="1" applyBorder="1"/>
    <xf numFmtId="0" fontId="4" fillId="2" borderId="2" xfId="3" applyFont="1" applyFill="1" applyBorder="1"/>
    <xf numFmtId="0" fontId="4" fillId="0" borderId="2" xfId="3" applyFont="1" applyBorder="1"/>
    <xf numFmtId="3" fontId="0" fillId="2" borderId="2" xfId="0" applyNumberFormat="1" applyFill="1" applyBorder="1"/>
    <xf numFmtId="9" fontId="0" fillId="0" borderId="2" xfId="1" applyFont="1" applyBorder="1"/>
    <xf numFmtId="0" fontId="0" fillId="4" borderId="0" xfId="0" applyFill="1"/>
    <xf numFmtId="0" fontId="1" fillId="0" borderId="0" xfId="3" applyFont="1"/>
    <xf numFmtId="0" fontId="7" fillId="0" borderId="0" xfId="0" applyFont="1"/>
    <xf numFmtId="0" fontId="8" fillId="0" borderId="2" xfId="4" applyBorder="1"/>
    <xf numFmtId="0" fontId="1" fillId="0" borderId="0" xfId="0" applyFont="1"/>
    <xf numFmtId="0" fontId="0" fillId="0" borderId="4" xfId="0" applyBorder="1"/>
    <xf numFmtId="0" fontId="4" fillId="3" borderId="4" xfId="0" applyFont="1" applyFill="1" applyBorder="1"/>
    <xf numFmtId="0" fontId="4" fillId="0" borderId="4" xfId="3" applyFont="1" applyBorder="1"/>
    <xf numFmtId="0" fontId="4" fillId="2" borderId="4" xfId="3" applyFont="1" applyFill="1" applyBorder="1"/>
    <xf numFmtId="3" fontId="6" fillId="3" borderId="4" xfId="0" applyNumberFormat="1" applyFont="1" applyFill="1" applyBorder="1"/>
    <xf numFmtId="3" fontId="6" fillId="0" borderId="4" xfId="3" applyNumberFormat="1" applyBorder="1"/>
    <xf numFmtId="3" fontId="0" fillId="2" borderId="4" xfId="0" applyNumberFormat="1" applyFill="1" applyBorder="1"/>
    <xf numFmtId="9" fontId="0" fillId="0" borderId="4" xfId="1" applyFont="1" applyBorder="1"/>
    <xf numFmtId="3" fontId="6" fillId="4" borderId="4" xfId="0" applyNumberFormat="1" applyFont="1" applyFill="1" applyBorder="1"/>
    <xf numFmtId="3" fontId="6" fillId="4" borderId="4" xfId="3" applyNumberFormat="1" applyFill="1" applyBorder="1"/>
    <xf numFmtId="3" fontId="0" fillId="4" borderId="4" xfId="0" applyNumberFormat="1" applyFill="1" applyBorder="1"/>
    <xf numFmtId="9" fontId="0" fillId="4" borderId="4" xfId="1" applyFont="1" applyFill="1" applyBorder="1"/>
    <xf numFmtId="3" fontId="0" fillId="0" borderId="4" xfId="0" applyNumberFormat="1" applyBorder="1"/>
    <xf numFmtId="0" fontId="0" fillId="4" borderId="4" xfId="0" applyFill="1" applyBorder="1"/>
    <xf numFmtId="0" fontId="0" fillId="5" borderId="4" xfId="0" applyFill="1" applyBorder="1"/>
    <xf numFmtId="0" fontId="9" fillId="0" borderId="0" xfId="0" applyFont="1"/>
    <xf numFmtId="0" fontId="10" fillId="0" borderId="0" xfId="0" applyFont="1"/>
    <xf numFmtId="165" fontId="0" fillId="0" borderId="4" xfId="0" applyNumberFormat="1" applyBorder="1"/>
  </cellXfs>
  <cellStyles count="6">
    <cellStyle name="Гиперссылка" xfId="4" builtinId="8"/>
    <cellStyle name="Заголовок 2" xfId="2" builtinId="17"/>
    <cellStyle name="Обычный" xfId="0" builtinId="0"/>
    <cellStyle name="Обычный 2" xfId="3" xr:uid="{09848D01-899B-4B1E-A0CD-122638EC6A08}"/>
    <cellStyle name="Обычный 3" xfId="5" xr:uid="{6D28E177-1CED-4052-89A5-3B783BFF0755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&#1086;&#1096;&#1080;&#1073;&#1082;&#1080;_.xlsx" TargetMode="External"/><Relationship Id="rId1" Type="http://schemas.openxmlformats.org/officeDocument/2006/relationships/hyperlink" Target="&#1086;&#1096;&#1080;&#1073;&#1082;&#1080;_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73415-F226-4FDE-825B-BBAA6DF25252}">
  <sheetPr codeName="Лист17"/>
  <dimension ref="A1:V62"/>
  <sheetViews>
    <sheetView tabSelected="1" zoomScale="140" zoomScaleNormal="140" workbookViewId="0">
      <selection activeCell="E3" sqref="E3"/>
    </sheetView>
  </sheetViews>
  <sheetFormatPr defaultRowHeight="15" x14ac:dyDescent="0.25"/>
  <cols>
    <col min="1" max="1" width="18.7109375" bestFit="1" customWidth="1"/>
    <col min="2" max="3" width="9.85546875" customWidth="1"/>
  </cols>
  <sheetData>
    <row r="1" spans="1:22" ht="17.25" x14ac:dyDescent="0.3">
      <c r="A1" s="12" t="s">
        <v>143</v>
      </c>
      <c r="B1" s="11"/>
    </row>
    <row r="2" spans="1:22" x14ac:dyDescent="0.25">
      <c r="A2" s="14" t="s">
        <v>140</v>
      </c>
      <c r="B2" s="20">
        <f>SUMIF($B$9:$B$60,A2,$V$9:$V$60)</f>
        <v>237148</v>
      </c>
    </row>
    <row r="3" spans="1:22" x14ac:dyDescent="0.25">
      <c r="A3" s="14" t="s">
        <v>141</v>
      </c>
      <c r="B3" s="20">
        <f>SUMIF($B$9:$B$60,A3,$V$9:$V$60)</f>
        <v>639292</v>
      </c>
    </row>
    <row r="4" spans="1:22" x14ac:dyDescent="0.25">
      <c r="A4" s="14" t="s">
        <v>142</v>
      </c>
      <c r="B4" s="20">
        <f>SUMIF($B$9:$B$60,A4,$V$9:$V$60)</f>
        <v>1912599</v>
      </c>
    </row>
    <row r="5" spans="1:22" x14ac:dyDescent="0.25">
      <c r="A5" s="13" t="s">
        <v>108</v>
      </c>
      <c r="B5" s="15">
        <f>SUM(B2:B4)</f>
        <v>2789039</v>
      </c>
    </row>
    <row r="7" spans="1:22" ht="17.25" x14ac:dyDescent="0.3">
      <c r="A7" s="12" t="s">
        <v>137</v>
      </c>
      <c r="B7" s="12"/>
      <c r="C7" s="12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2" x14ac:dyDescent="0.25">
      <c r="A8" s="16" t="s">
        <v>138</v>
      </c>
      <c r="B8" s="16" t="s">
        <v>139</v>
      </c>
      <c r="C8" s="18">
        <v>43466</v>
      </c>
      <c r="D8" s="18">
        <v>43497</v>
      </c>
      <c r="E8" s="18">
        <v>43525</v>
      </c>
      <c r="F8" s="18">
        <v>43556</v>
      </c>
      <c r="G8" s="18">
        <v>43586</v>
      </c>
      <c r="H8" s="18" t="s">
        <v>147</v>
      </c>
      <c r="I8" s="18" t="s">
        <v>149</v>
      </c>
      <c r="J8" s="18">
        <v>43678</v>
      </c>
      <c r="K8" s="18">
        <v>43709</v>
      </c>
      <c r="L8" s="18">
        <v>43739</v>
      </c>
      <c r="M8" s="18">
        <v>43770</v>
      </c>
      <c r="N8" s="18">
        <v>43800</v>
      </c>
      <c r="O8" s="18">
        <v>43647</v>
      </c>
      <c r="P8" s="18">
        <v>43678</v>
      </c>
      <c r="Q8" s="18" t="s">
        <v>148</v>
      </c>
      <c r="R8" s="18">
        <v>43739</v>
      </c>
      <c r="S8" s="18">
        <v>43770</v>
      </c>
      <c r="T8" s="19">
        <v>43800</v>
      </c>
      <c r="U8" s="19">
        <v>43800</v>
      </c>
      <c r="V8" s="13" t="s">
        <v>108</v>
      </c>
    </row>
    <row r="9" spans="1:22" x14ac:dyDescent="0.25">
      <c r="A9" s="17" t="s">
        <v>1</v>
      </c>
      <c r="B9" s="17" t="s">
        <v>140</v>
      </c>
      <c r="C9" s="20">
        <v>1320</v>
      </c>
      <c r="D9" s="20">
        <v>538</v>
      </c>
      <c r="E9" s="20">
        <v>1272</v>
      </c>
      <c r="F9" s="20">
        <v>1788</v>
      </c>
      <c r="G9" s="20">
        <v>210</v>
      </c>
      <c r="H9" s="20">
        <v>1760</v>
      </c>
      <c r="I9" s="20">
        <v>1760</v>
      </c>
      <c r="J9" s="20">
        <v>1760</v>
      </c>
      <c r="K9" s="20">
        <v>1760</v>
      </c>
      <c r="L9" s="20">
        <v>1760</v>
      </c>
      <c r="M9" s="20">
        <v>1760</v>
      </c>
      <c r="N9" s="20">
        <v>1760</v>
      </c>
      <c r="O9" s="20">
        <v>1252</v>
      </c>
      <c r="P9" s="20">
        <v>730</v>
      </c>
      <c r="Q9" s="20">
        <v>1408</v>
      </c>
      <c r="R9" s="20">
        <v>1808</v>
      </c>
      <c r="S9" s="20">
        <v>1116</v>
      </c>
      <c r="T9" s="19">
        <v>43831</v>
      </c>
      <c r="U9" s="19">
        <v>43831</v>
      </c>
      <c r="V9" s="15">
        <f>SUM(C9:T9)</f>
        <v>67593</v>
      </c>
    </row>
    <row r="10" spans="1:22" x14ac:dyDescent="0.25">
      <c r="A10" s="17" t="s">
        <v>2</v>
      </c>
      <c r="B10" s="17" t="s">
        <v>140</v>
      </c>
      <c r="C10" s="20">
        <v>562</v>
      </c>
      <c r="D10" s="20">
        <v>1782</v>
      </c>
      <c r="E10" s="20">
        <v>1286</v>
      </c>
      <c r="F10" s="20">
        <v>282</v>
      </c>
      <c r="G10" s="20">
        <v>1982</v>
      </c>
      <c r="H10" s="20">
        <v>1654</v>
      </c>
      <c r="I10" s="20">
        <v>1654</v>
      </c>
      <c r="J10" s="20">
        <v>1654</v>
      </c>
      <c r="K10" s="20">
        <v>1654</v>
      </c>
      <c r="L10" s="20">
        <v>1654</v>
      </c>
      <c r="M10" s="20">
        <v>1654</v>
      </c>
      <c r="N10" s="20">
        <v>1654</v>
      </c>
      <c r="O10" s="20">
        <v>1018</v>
      </c>
      <c r="P10" s="20">
        <v>1290</v>
      </c>
      <c r="Q10" s="20">
        <v>530</v>
      </c>
      <c r="R10" s="20">
        <v>580</v>
      </c>
      <c r="S10" s="20">
        <v>602</v>
      </c>
      <c r="T10" s="19">
        <v>43862</v>
      </c>
      <c r="U10" s="19">
        <v>43862</v>
      </c>
      <c r="V10" s="15">
        <f t="shared" ref="V10:V62" si="0">SUM(C10:T10)</f>
        <v>65354</v>
      </c>
    </row>
    <row r="11" spans="1:22" x14ac:dyDescent="0.25">
      <c r="A11" s="17" t="s">
        <v>3</v>
      </c>
      <c r="B11" s="17" t="s">
        <v>140</v>
      </c>
      <c r="C11" s="20">
        <v>391</v>
      </c>
      <c r="D11" s="20">
        <v>576</v>
      </c>
      <c r="E11" s="20">
        <v>153</v>
      </c>
      <c r="F11" s="20">
        <v>864</v>
      </c>
      <c r="G11" s="20">
        <v>109</v>
      </c>
      <c r="H11" s="20">
        <v>114</v>
      </c>
      <c r="I11" s="20">
        <v>114</v>
      </c>
      <c r="J11" s="20">
        <v>114</v>
      </c>
      <c r="K11" s="20">
        <v>114</v>
      </c>
      <c r="L11" s="20">
        <v>114</v>
      </c>
      <c r="M11" s="20">
        <v>114</v>
      </c>
      <c r="N11" s="20">
        <v>114</v>
      </c>
      <c r="O11" s="20">
        <v>415</v>
      </c>
      <c r="P11" s="20">
        <v>297</v>
      </c>
      <c r="Q11" s="20">
        <v>133</v>
      </c>
      <c r="R11" s="20">
        <v>116</v>
      </c>
      <c r="S11" s="20">
        <v>760</v>
      </c>
      <c r="T11" s="19">
        <v>43891</v>
      </c>
      <c r="U11" s="19">
        <v>43891</v>
      </c>
      <c r="V11" s="15">
        <f t="shared" si="0"/>
        <v>48503</v>
      </c>
    </row>
    <row r="12" spans="1:22" x14ac:dyDescent="0.25">
      <c r="A12" s="17" t="s">
        <v>4</v>
      </c>
      <c r="B12" s="17" t="s">
        <v>140</v>
      </c>
      <c r="C12" s="20">
        <v>630</v>
      </c>
      <c r="D12" s="20">
        <v>614</v>
      </c>
      <c r="E12" s="20">
        <v>704</v>
      </c>
      <c r="F12" s="20">
        <v>487</v>
      </c>
      <c r="G12" s="20">
        <v>242</v>
      </c>
      <c r="H12" s="20">
        <v>906</v>
      </c>
      <c r="I12" s="20">
        <v>906</v>
      </c>
      <c r="J12" s="20">
        <v>906</v>
      </c>
      <c r="K12" s="20">
        <v>906</v>
      </c>
      <c r="L12" s="20">
        <v>906</v>
      </c>
      <c r="M12" s="20">
        <v>906</v>
      </c>
      <c r="N12" s="20">
        <v>906</v>
      </c>
      <c r="O12" s="20">
        <v>355</v>
      </c>
      <c r="P12" s="20">
        <v>782</v>
      </c>
      <c r="Q12" s="20">
        <v>383</v>
      </c>
      <c r="R12" s="20">
        <v>705</v>
      </c>
      <c r="S12" s="20">
        <v>532</v>
      </c>
      <c r="T12" s="19">
        <v>43922</v>
      </c>
      <c r="U12" s="19">
        <v>43922</v>
      </c>
      <c r="V12" s="15">
        <f t="shared" si="0"/>
        <v>55698</v>
      </c>
    </row>
    <row r="13" spans="1:22" x14ac:dyDescent="0.25">
      <c r="A13" s="17" t="s">
        <v>5</v>
      </c>
      <c r="B13" s="17" t="s">
        <v>141</v>
      </c>
      <c r="C13" s="20">
        <v>787</v>
      </c>
      <c r="D13" s="20">
        <v>307</v>
      </c>
      <c r="E13" s="20">
        <v>428</v>
      </c>
      <c r="F13" s="20">
        <v>271</v>
      </c>
      <c r="G13" s="20">
        <v>544</v>
      </c>
      <c r="H13" s="20">
        <v>387</v>
      </c>
      <c r="I13" s="20">
        <v>387</v>
      </c>
      <c r="J13" s="20">
        <v>387</v>
      </c>
      <c r="K13" s="20">
        <v>387</v>
      </c>
      <c r="L13" s="20">
        <v>387</v>
      </c>
      <c r="M13" s="20">
        <v>387</v>
      </c>
      <c r="N13" s="20">
        <v>387</v>
      </c>
      <c r="O13" s="20">
        <v>583</v>
      </c>
      <c r="P13" s="20">
        <v>610</v>
      </c>
      <c r="Q13" s="20">
        <v>256</v>
      </c>
      <c r="R13" s="20">
        <v>177</v>
      </c>
      <c r="S13" s="20">
        <v>647</v>
      </c>
      <c r="T13" s="19">
        <v>43952</v>
      </c>
      <c r="U13" s="19">
        <v>43952</v>
      </c>
      <c r="V13" s="15">
        <f t="shared" si="0"/>
        <v>51271</v>
      </c>
    </row>
    <row r="14" spans="1:22" x14ac:dyDescent="0.25">
      <c r="A14" s="17" t="s">
        <v>6</v>
      </c>
      <c r="B14" s="17" t="s">
        <v>141</v>
      </c>
      <c r="C14" s="20">
        <v>800</v>
      </c>
      <c r="D14" s="20">
        <v>884</v>
      </c>
      <c r="E14" s="20">
        <v>312</v>
      </c>
      <c r="F14" s="20">
        <v>925</v>
      </c>
      <c r="G14" s="20">
        <v>369</v>
      </c>
      <c r="H14" s="20">
        <v>724</v>
      </c>
      <c r="I14" s="20">
        <v>724</v>
      </c>
      <c r="J14" s="20">
        <v>724</v>
      </c>
      <c r="K14" s="20">
        <v>724</v>
      </c>
      <c r="L14" s="20">
        <v>724</v>
      </c>
      <c r="M14" s="20">
        <v>724</v>
      </c>
      <c r="N14" s="20">
        <v>724</v>
      </c>
      <c r="O14" s="20">
        <v>901</v>
      </c>
      <c r="P14" s="20">
        <v>770</v>
      </c>
      <c r="Q14" s="20">
        <v>361</v>
      </c>
      <c r="R14" s="20">
        <v>850</v>
      </c>
      <c r="S14" s="20">
        <v>788</v>
      </c>
      <c r="T14" s="19">
        <v>43983</v>
      </c>
      <c r="U14" s="19">
        <v>43983</v>
      </c>
      <c r="V14" s="15">
        <f t="shared" si="0"/>
        <v>56011</v>
      </c>
    </row>
    <row r="15" spans="1:22" x14ac:dyDescent="0.25">
      <c r="A15" s="17" t="s">
        <v>7</v>
      </c>
      <c r="B15" s="17" t="s">
        <v>141</v>
      </c>
      <c r="C15" s="20">
        <v>223</v>
      </c>
      <c r="D15" s="20">
        <v>298</v>
      </c>
      <c r="E15" s="20">
        <v>539</v>
      </c>
      <c r="F15" s="20">
        <v>233</v>
      </c>
      <c r="G15" s="20">
        <v>784</v>
      </c>
      <c r="H15" s="20">
        <v>475</v>
      </c>
      <c r="I15" s="20">
        <v>475</v>
      </c>
      <c r="J15" s="20">
        <v>475</v>
      </c>
      <c r="K15" s="20">
        <v>475</v>
      </c>
      <c r="L15" s="20">
        <v>475</v>
      </c>
      <c r="M15" s="20">
        <v>475</v>
      </c>
      <c r="N15" s="20">
        <v>475</v>
      </c>
      <c r="O15" s="20">
        <v>455</v>
      </c>
      <c r="P15" s="20">
        <v>817</v>
      </c>
      <c r="Q15" s="20">
        <v>916</v>
      </c>
      <c r="R15" s="20">
        <v>198</v>
      </c>
      <c r="S15" s="20">
        <v>639</v>
      </c>
      <c r="T15" s="19">
        <v>44013</v>
      </c>
      <c r="U15" s="19">
        <v>44013</v>
      </c>
      <c r="V15" s="15">
        <f t="shared" si="0"/>
        <v>52440</v>
      </c>
    </row>
    <row r="16" spans="1:22" x14ac:dyDescent="0.25">
      <c r="A16" s="17" t="s">
        <v>8</v>
      </c>
      <c r="B16" s="17" t="s">
        <v>141</v>
      </c>
      <c r="C16" s="20">
        <v>999</v>
      </c>
      <c r="D16" s="20">
        <v>344</v>
      </c>
      <c r="E16" s="20">
        <v>675</v>
      </c>
      <c r="F16" s="20">
        <v>673</v>
      </c>
      <c r="G16" s="20">
        <v>670</v>
      </c>
      <c r="H16" s="20">
        <v>420</v>
      </c>
      <c r="I16" s="20">
        <v>420</v>
      </c>
      <c r="J16" s="20">
        <v>420</v>
      </c>
      <c r="K16" s="20">
        <v>420</v>
      </c>
      <c r="L16" s="20">
        <v>420</v>
      </c>
      <c r="M16" s="20">
        <v>420</v>
      </c>
      <c r="N16" s="20">
        <v>420</v>
      </c>
      <c r="O16" s="20">
        <v>345</v>
      </c>
      <c r="P16" s="20">
        <v>413</v>
      </c>
      <c r="Q16" s="20">
        <v>456</v>
      </c>
      <c r="R16" s="20">
        <v>293</v>
      </c>
      <c r="S16" s="20">
        <v>736</v>
      </c>
      <c r="T16" s="19">
        <v>44044</v>
      </c>
      <c r="U16" s="19">
        <v>44044</v>
      </c>
      <c r="V16" s="15">
        <f t="shared" si="0"/>
        <v>52588</v>
      </c>
    </row>
    <row r="17" spans="1:22" x14ac:dyDescent="0.25">
      <c r="A17" s="17" t="s">
        <v>9</v>
      </c>
      <c r="B17" s="17" t="s">
        <v>141</v>
      </c>
      <c r="C17" s="20">
        <v>636</v>
      </c>
      <c r="D17" s="20">
        <v>816</v>
      </c>
      <c r="E17" s="20">
        <v>701</v>
      </c>
      <c r="F17" s="20">
        <v>953</v>
      </c>
      <c r="G17" s="20">
        <v>705</v>
      </c>
      <c r="H17" s="20">
        <v>737</v>
      </c>
      <c r="I17" s="20">
        <v>737</v>
      </c>
      <c r="J17" s="20">
        <v>737</v>
      </c>
      <c r="K17" s="20">
        <v>737</v>
      </c>
      <c r="L17" s="20">
        <v>737</v>
      </c>
      <c r="M17" s="20">
        <v>737</v>
      </c>
      <c r="N17" s="20">
        <v>737</v>
      </c>
      <c r="O17" s="20">
        <v>458</v>
      </c>
      <c r="P17" s="20">
        <v>344</v>
      </c>
      <c r="Q17" s="20">
        <v>551</v>
      </c>
      <c r="R17" s="20">
        <v>617</v>
      </c>
      <c r="S17" s="20">
        <v>653</v>
      </c>
      <c r="T17" s="19">
        <v>44075</v>
      </c>
      <c r="U17" s="19">
        <v>44075</v>
      </c>
      <c r="V17" s="15">
        <f t="shared" si="0"/>
        <v>55668</v>
      </c>
    </row>
    <row r="18" spans="1:22" x14ac:dyDescent="0.25">
      <c r="A18" s="17" t="s">
        <v>10</v>
      </c>
      <c r="B18" s="17" t="s">
        <v>141</v>
      </c>
      <c r="C18" s="20">
        <v>271</v>
      </c>
      <c r="D18" s="20">
        <v>671</v>
      </c>
      <c r="E18" s="20">
        <v>866</v>
      </c>
      <c r="F18" s="20">
        <v>254</v>
      </c>
      <c r="G18" s="20">
        <v>424</v>
      </c>
      <c r="H18" s="20">
        <v>772</v>
      </c>
      <c r="I18" s="20">
        <v>772</v>
      </c>
      <c r="J18" s="20">
        <v>772</v>
      </c>
      <c r="K18" s="20">
        <v>772</v>
      </c>
      <c r="L18" s="20">
        <v>772</v>
      </c>
      <c r="M18" s="20">
        <v>772</v>
      </c>
      <c r="N18" s="20">
        <v>772</v>
      </c>
      <c r="O18" s="20">
        <v>900</v>
      </c>
      <c r="P18" s="20">
        <v>184</v>
      </c>
      <c r="Q18" s="20">
        <v>403</v>
      </c>
      <c r="R18" s="20">
        <v>249</v>
      </c>
      <c r="S18" s="20">
        <v>190</v>
      </c>
      <c r="T18" s="19">
        <v>44105</v>
      </c>
      <c r="U18" s="19">
        <v>44105</v>
      </c>
      <c r="V18" s="15">
        <f t="shared" si="0"/>
        <v>53921</v>
      </c>
    </row>
    <row r="19" spans="1:22" x14ac:dyDescent="0.25">
      <c r="A19" s="17" t="s">
        <v>11</v>
      </c>
      <c r="B19" s="17" t="s">
        <v>141</v>
      </c>
      <c r="C19" s="20">
        <v>383</v>
      </c>
      <c r="D19" s="20">
        <v>385</v>
      </c>
      <c r="E19" s="20">
        <v>282</v>
      </c>
      <c r="F19" s="20">
        <v>747</v>
      </c>
      <c r="G19" s="20">
        <v>918</v>
      </c>
      <c r="H19" s="20">
        <v>576</v>
      </c>
      <c r="I19" s="20">
        <v>576</v>
      </c>
      <c r="J19" s="20">
        <v>576</v>
      </c>
      <c r="K19" s="20">
        <v>576</v>
      </c>
      <c r="L19" s="20">
        <v>576</v>
      </c>
      <c r="M19" s="20">
        <v>576</v>
      </c>
      <c r="N19" s="20">
        <v>576</v>
      </c>
      <c r="O19" s="20">
        <v>788</v>
      </c>
      <c r="P19" s="20">
        <v>229</v>
      </c>
      <c r="Q19" s="20">
        <v>705</v>
      </c>
      <c r="R19" s="20">
        <v>273</v>
      </c>
      <c r="S19" s="20">
        <v>802</v>
      </c>
      <c r="T19" s="19">
        <v>44136</v>
      </c>
      <c r="U19" s="19">
        <v>44136</v>
      </c>
      <c r="V19" s="15">
        <f t="shared" si="0"/>
        <v>53680</v>
      </c>
    </row>
    <row r="20" spans="1:22" x14ac:dyDescent="0.25">
      <c r="A20" s="17" t="s">
        <v>12</v>
      </c>
      <c r="B20" s="17" t="s">
        <v>141</v>
      </c>
      <c r="C20" s="20">
        <v>604</v>
      </c>
      <c r="D20" s="20">
        <v>827</v>
      </c>
      <c r="E20" s="20">
        <v>375</v>
      </c>
      <c r="F20" s="20">
        <v>232</v>
      </c>
      <c r="G20" s="20">
        <v>364</v>
      </c>
      <c r="H20" s="20">
        <v>415</v>
      </c>
      <c r="I20" s="20">
        <v>415</v>
      </c>
      <c r="J20" s="20">
        <v>415</v>
      </c>
      <c r="K20" s="20">
        <v>415</v>
      </c>
      <c r="L20" s="20">
        <v>415</v>
      </c>
      <c r="M20" s="20">
        <v>415</v>
      </c>
      <c r="N20" s="20">
        <v>415</v>
      </c>
      <c r="O20" s="20">
        <v>733</v>
      </c>
      <c r="P20" s="20">
        <v>805</v>
      </c>
      <c r="Q20" s="20">
        <v>502</v>
      </c>
      <c r="R20" s="20">
        <v>464</v>
      </c>
      <c r="S20" s="20">
        <v>898</v>
      </c>
      <c r="T20" s="19">
        <v>44166</v>
      </c>
      <c r="U20" s="19">
        <v>44166</v>
      </c>
      <c r="V20" s="15">
        <f t="shared" si="0"/>
        <v>52875</v>
      </c>
    </row>
    <row r="21" spans="1:22" x14ac:dyDescent="0.25">
      <c r="A21" s="17" t="s">
        <v>13</v>
      </c>
      <c r="B21" s="17" t="s">
        <v>141</v>
      </c>
      <c r="C21" s="20">
        <v>761</v>
      </c>
      <c r="D21" s="20">
        <v>286</v>
      </c>
      <c r="E21" s="20">
        <v>731</v>
      </c>
      <c r="F21" s="20">
        <v>597</v>
      </c>
      <c r="G21" s="20">
        <v>999</v>
      </c>
      <c r="H21" s="20">
        <v>363</v>
      </c>
      <c r="I21" s="20">
        <v>363</v>
      </c>
      <c r="J21" s="20">
        <v>363</v>
      </c>
      <c r="K21" s="20">
        <v>363</v>
      </c>
      <c r="L21" s="20">
        <v>363</v>
      </c>
      <c r="M21" s="20">
        <v>363</v>
      </c>
      <c r="N21" s="20">
        <v>363</v>
      </c>
      <c r="O21" s="20">
        <v>992</v>
      </c>
      <c r="P21" s="20">
        <v>763</v>
      </c>
      <c r="Q21" s="20">
        <v>839</v>
      </c>
      <c r="R21" s="20">
        <v>790</v>
      </c>
      <c r="S21" s="20">
        <v>635</v>
      </c>
      <c r="T21" s="19">
        <v>44197</v>
      </c>
      <c r="U21" s="19">
        <v>44197</v>
      </c>
      <c r="V21" s="15">
        <f t="shared" si="0"/>
        <v>54131</v>
      </c>
    </row>
    <row r="22" spans="1:22" x14ac:dyDescent="0.25">
      <c r="A22" s="17" t="s">
        <v>14</v>
      </c>
      <c r="B22" s="17" t="s">
        <v>141</v>
      </c>
      <c r="C22" s="20">
        <v>591</v>
      </c>
      <c r="D22" s="20">
        <v>358</v>
      </c>
      <c r="E22" s="20">
        <v>141</v>
      </c>
      <c r="F22" s="20">
        <v>707</v>
      </c>
      <c r="G22" s="20">
        <v>687</v>
      </c>
      <c r="H22" s="20">
        <v>614</v>
      </c>
      <c r="I22" s="20">
        <v>614</v>
      </c>
      <c r="J22" s="20">
        <v>614</v>
      </c>
      <c r="K22" s="20">
        <v>614</v>
      </c>
      <c r="L22" s="20">
        <v>614</v>
      </c>
      <c r="M22" s="20">
        <v>614</v>
      </c>
      <c r="N22" s="20">
        <v>614</v>
      </c>
      <c r="O22" s="20">
        <v>155</v>
      </c>
      <c r="P22" s="20">
        <v>563</v>
      </c>
      <c r="Q22" s="20">
        <v>144</v>
      </c>
      <c r="R22" s="20">
        <v>699</v>
      </c>
      <c r="S22" s="20">
        <v>326</v>
      </c>
      <c r="T22" s="19">
        <v>44228</v>
      </c>
      <c r="U22" s="19">
        <v>44228</v>
      </c>
      <c r="V22" s="15">
        <f t="shared" si="0"/>
        <v>52897</v>
      </c>
    </row>
    <row r="23" spans="1:22" x14ac:dyDescent="0.25">
      <c r="A23" s="17" t="s">
        <v>15</v>
      </c>
      <c r="B23" s="17" t="s">
        <v>141</v>
      </c>
      <c r="C23" s="20">
        <v>553</v>
      </c>
      <c r="D23" s="20">
        <v>527</v>
      </c>
      <c r="E23" s="20">
        <v>266</v>
      </c>
      <c r="F23" s="20">
        <v>749</v>
      </c>
      <c r="G23" s="20">
        <v>764</v>
      </c>
      <c r="H23" s="20">
        <v>419</v>
      </c>
      <c r="I23" s="20">
        <v>419</v>
      </c>
      <c r="J23" s="20">
        <v>419</v>
      </c>
      <c r="K23" s="20">
        <v>419</v>
      </c>
      <c r="L23" s="20">
        <v>419</v>
      </c>
      <c r="M23" s="20">
        <v>419</v>
      </c>
      <c r="N23" s="20">
        <v>419</v>
      </c>
      <c r="O23" s="20">
        <v>339</v>
      </c>
      <c r="P23" s="20">
        <v>108</v>
      </c>
      <c r="Q23" s="20">
        <v>984</v>
      </c>
      <c r="R23" s="20">
        <v>671</v>
      </c>
      <c r="S23" s="20">
        <v>146</v>
      </c>
      <c r="T23" s="19">
        <v>44256</v>
      </c>
      <c r="U23" s="19">
        <v>44256</v>
      </c>
      <c r="V23" s="15">
        <f t="shared" si="0"/>
        <v>52296</v>
      </c>
    </row>
    <row r="24" spans="1:22" x14ac:dyDescent="0.25">
      <c r="A24" s="17" t="s">
        <v>16</v>
      </c>
      <c r="B24" s="17" t="s">
        <v>141</v>
      </c>
      <c r="C24" s="20">
        <v>664</v>
      </c>
      <c r="D24" s="20">
        <v>802</v>
      </c>
      <c r="E24" s="20">
        <v>213</v>
      </c>
      <c r="F24" s="20">
        <v>298</v>
      </c>
      <c r="G24" s="20">
        <v>239</v>
      </c>
      <c r="H24" s="20">
        <v>270</v>
      </c>
      <c r="I24" s="20">
        <v>270</v>
      </c>
      <c r="J24" s="20">
        <v>270</v>
      </c>
      <c r="K24" s="20">
        <v>270</v>
      </c>
      <c r="L24" s="20">
        <v>270</v>
      </c>
      <c r="M24" s="20">
        <v>270</v>
      </c>
      <c r="N24" s="20">
        <v>270</v>
      </c>
      <c r="O24" s="20">
        <v>246</v>
      </c>
      <c r="P24" s="20">
        <v>753</v>
      </c>
      <c r="Q24" s="20">
        <v>689</v>
      </c>
      <c r="R24" s="20">
        <v>926</v>
      </c>
      <c r="S24" s="20">
        <v>507</v>
      </c>
      <c r="T24" s="19">
        <v>44287</v>
      </c>
      <c r="U24" s="19">
        <v>44287</v>
      </c>
      <c r="V24" s="15">
        <f t="shared" si="0"/>
        <v>51514</v>
      </c>
    </row>
    <row r="25" spans="1:22" x14ac:dyDescent="0.25">
      <c r="A25" s="17" t="s">
        <v>17</v>
      </c>
      <c r="B25" s="17" t="s">
        <v>142</v>
      </c>
      <c r="C25" s="20">
        <v>381</v>
      </c>
      <c r="D25" s="20">
        <v>334</v>
      </c>
      <c r="E25" s="20">
        <v>607</v>
      </c>
      <c r="F25" s="20">
        <v>105</v>
      </c>
      <c r="G25" s="20">
        <v>702</v>
      </c>
      <c r="H25" s="20">
        <v>186</v>
      </c>
      <c r="I25" s="20">
        <v>186</v>
      </c>
      <c r="J25" s="20">
        <v>186</v>
      </c>
      <c r="K25" s="20">
        <v>186</v>
      </c>
      <c r="L25" s="20">
        <v>186</v>
      </c>
      <c r="M25" s="20">
        <v>186</v>
      </c>
      <c r="N25" s="20">
        <v>186</v>
      </c>
      <c r="O25" s="20">
        <v>749</v>
      </c>
      <c r="P25" s="20">
        <v>971</v>
      </c>
      <c r="Q25" s="20">
        <v>516</v>
      </c>
      <c r="R25" s="20">
        <v>340</v>
      </c>
      <c r="S25" s="20">
        <v>613</v>
      </c>
      <c r="T25" s="19">
        <v>44317</v>
      </c>
      <c r="U25" s="19">
        <v>44317</v>
      </c>
      <c r="V25" s="15">
        <f t="shared" si="0"/>
        <v>50937</v>
      </c>
    </row>
    <row r="26" spans="1:22" x14ac:dyDescent="0.25">
      <c r="A26" s="17" t="s">
        <v>18</v>
      </c>
      <c r="B26" s="17" t="s">
        <v>142</v>
      </c>
      <c r="C26" s="20">
        <v>123</v>
      </c>
      <c r="D26" s="20">
        <v>884</v>
      </c>
      <c r="E26" s="20">
        <v>746</v>
      </c>
      <c r="F26" s="20">
        <v>655</v>
      </c>
      <c r="G26" s="20">
        <v>717</v>
      </c>
      <c r="H26" s="20">
        <v>753</v>
      </c>
      <c r="I26" s="20">
        <v>753</v>
      </c>
      <c r="J26" s="20">
        <v>753</v>
      </c>
      <c r="K26" s="20">
        <v>753</v>
      </c>
      <c r="L26" s="20">
        <v>753</v>
      </c>
      <c r="M26" s="20">
        <v>753</v>
      </c>
      <c r="N26" s="20">
        <v>753</v>
      </c>
      <c r="O26" s="20">
        <v>195</v>
      </c>
      <c r="P26" s="20">
        <v>675</v>
      </c>
      <c r="Q26" s="20">
        <v>388</v>
      </c>
      <c r="R26" s="20">
        <v>388</v>
      </c>
      <c r="S26" s="20">
        <v>698</v>
      </c>
      <c r="T26" s="19">
        <v>44348</v>
      </c>
      <c r="U26" s="19">
        <v>44348</v>
      </c>
      <c r="V26" s="15">
        <f t="shared" si="0"/>
        <v>55088</v>
      </c>
    </row>
    <row r="27" spans="1:22" x14ac:dyDescent="0.25">
      <c r="A27" s="17" t="s">
        <v>19</v>
      </c>
      <c r="B27" s="17" t="s">
        <v>142</v>
      </c>
      <c r="C27" s="20">
        <v>165</v>
      </c>
      <c r="D27" s="20">
        <v>120</v>
      </c>
      <c r="E27" s="20">
        <v>420</v>
      </c>
      <c r="F27" s="20">
        <v>387</v>
      </c>
      <c r="G27" s="20">
        <v>774</v>
      </c>
      <c r="H27" s="20">
        <v>416</v>
      </c>
      <c r="I27" s="20">
        <v>416</v>
      </c>
      <c r="J27" s="20">
        <v>416</v>
      </c>
      <c r="K27" s="20">
        <v>416</v>
      </c>
      <c r="L27" s="20">
        <v>416</v>
      </c>
      <c r="M27" s="20">
        <v>416</v>
      </c>
      <c r="N27" s="20">
        <v>416</v>
      </c>
      <c r="O27" s="20">
        <v>529</v>
      </c>
      <c r="P27" s="20">
        <v>512</v>
      </c>
      <c r="Q27" s="20">
        <v>233</v>
      </c>
      <c r="R27" s="20">
        <v>260</v>
      </c>
      <c r="S27" s="20">
        <v>658</v>
      </c>
      <c r="T27" s="19">
        <v>44378</v>
      </c>
      <c r="U27" s="19">
        <v>44378</v>
      </c>
      <c r="V27" s="15">
        <f t="shared" si="0"/>
        <v>51348</v>
      </c>
    </row>
    <row r="28" spans="1:22" x14ac:dyDescent="0.25">
      <c r="A28" s="17" t="s">
        <v>20</v>
      </c>
      <c r="B28" s="17" t="s">
        <v>142</v>
      </c>
      <c r="C28" s="20">
        <v>514</v>
      </c>
      <c r="D28" s="20">
        <v>954</v>
      </c>
      <c r="E28" s="20">
        <v>510</v>
      </c>
      <c r="F28" s="20">
        <v>819</v>
      </c>
      <c r="G28" s="20">
        <v>718</v>
      </c>
      <c r="H28" s="20">
        <v>313</v>
      </c>
      <c r="I28" s="20">
        <v>313</v>
      </c>
      <c r="J28" s="20">
        <v>313</v>
      </c>
      <c r="K28" s="20">
        <v>313</v>
      </c>
      <c r="L28" s="20">
        <v>313</v>
      </c>
      <c r="M28" s="20">
        <v>313</v>
      </c>
      <c r="N28" s="20">
        <v>313</v>
      </c>
      <c r="O28" s="20">
        <v>406</v>
      </c>
      <c r="P28" s="20">
        <v>928</v>
      </c>
      <c r="Q28" s="20">
        <v>131</v>
      </c>
      <c r="R28" s="20">
        <v>779</v>
      </c>
      <c r="S28" s="20">
        <v>390</v>
      </c>
      <c r="T28" s="19">
        <v>44409</v>
      </c>
      <c r="U28" s="19">
        <v>44409</v>
      </c>
      <c r="V28" s="15">
        <f t="shared" si="0"/>
        <v>52749</v>
      </c>
    </row>
    <row r="29" spans="1:22" x14ac:dyDescent="0.25">
      <c r="A29" s="17" t="s">
        <v>21</v>
      </c>
      <c r="B29" s="17" t="s">
        <v>142</v>
      </c>
      <c r="C29" s="20">
        <v>899</v>
      </c>
      <c r="D29" s="20">
        <v>798</v>
      </c>
      <c r="E29" s="20">
        <v>183</v>
      </c>
      <c r="F29" s="20">
        <v>497</v>
      </c>
      <c r="G29" s="20">
        <v>438</v>
      </c>
      <c r="H29" s="20">
        <v>327</v>
      </c>
      <c r="I29" s="20">
        <v>327</v>
      </c>
      <c r="J29" s="20">
        <v>327</v>
      </c>
      <c r="K29" s="20">
        <v>327</v>
      </c>
      <c r="L29" s="20">
        <v>327</v>
      </c>
      <c r="M29" s="20">
        <v>327</v>
      </c>
      <c r="N29" s="20">
        <v>327</v>
      </c>
      <c r="O29" s="20">
        <v>584</v>
      </c>
      <c r="P29" s="20">
        <v>512</v>
      </c>
      <c r="Q29" s="20">
        <v>876</v>
      </c>
      <c r="R29" s="20">
        <v>487</v>
      </c>
      <c r="S29" s="20">
        <v>396</v>
      </c>
      <c r="T29" s="19">
        <v>44440</v>
      </c>
      <c r="U29" s="19">
        <v>44440</v>
      </c>
      <c r="V29" s="15">
        <f t="shared" si="0"/>
        <v>52399</v>
      </c>
    </row>
    <row r="30" spans="1:22" x14ac:dyDescent="0.25">
      <c r="A30" s="17" t="s">
        <v>22</v>
      </c>
      <c r="B30" s="17" t="s">
        <v>142</v>
      </c>
      <c r="C30" s="20">
        <v>291</v>
      </c>
      <c r="D30" s="20">
        <v>145</v>
      </c>
      <c r="E30" s="20">
        <v>648</v>
      </c>
      <c r="F30" s="20">
        <v>160</v>
      </c>
      <c r="G30" s="20">
        <v>935</v>
      </c>
      <c r="H30" s="20">
        <v>640</v>
      </c>
      <c r="I30" s="20">
        <v>640</v>
      </c>
      <c r="J30" s="20">
        <v>640</v>
      </c>
      <c r="K30" s="20">
        <v>640</v>
      </c>
      <c r="L30" s="20">
        <v>640</v>
      </c>
      <c r="M30" s="20">
        <v>640</v>
      </c>
      <c r="N30" s="20">
        <v>640</v>
      </c>
      <c r="O30" s="20">
        <v>607</v>
      </c>
      <c r="P30" s="20">
        <v>235</v>
      </c>
      <c r="Q30" s="20">
        <v>994</v>
      </c>
      <c r="R30" s="20">
        <v>333</v>
      </c>
      <c r="S30" s="20">
        <v>716</v>
      </c>
      <c r="T30" s="19">
        <v>44470</v>
      </c>
      <c r="U30" s="19">
        <v>44470</v>
      </c>
      <c r="V30" s="15">
        <f t="shared" si="0"/>
        <v>54014</v>
      </c>
    </row>
    <row r="31" spans="1:22" x14ac:dyDescent="0.25">
      <c r="A31" s="17" t="s">
        <v>23</v>
      </c>
      <c r="B31" s="17" t="s">
        <v>142</v>
      </c>
      <c r="C31" s="20">
        <v>959</v>
      </c>
      <c r="D31" s="20">
        <v>467</v>
      </c>
      <c r="E31" s="20">
        <v>585</v>
      </c>
      <c r="F31" s="20">
        <v>754</v>
      </c>
      <c r="G31" s="20">
        <v>307</v>
      </c>
      <c r="H31" s="20">
        <v>523</v>
      </c>
      <c r="I31" s="20">
        <v>523</v>
      </c>
      <c r="J31" s="20">
        <v>523</v>
      </c>
      <c r="K31" s="20">
        <v>523</v>
      </c>
      <c r="L31" s="20">
        <v>523</v>
      </c>
      <c r="M31" s="20">
        <v>523</v>
      </c>
      <c r="N31" s="20">
        <v>523</v>
      </c>
      <c r="O31" s="20">
        <v>163</v>
      </c>
      <c r="P31" s="20">
        <v>811</v>
      </c>
      <c r="Q31" s="20">
        <v>859</v>
      </c>
      <c r="R31" s="20">
        <v>230</v>
      </c>
      <c r="S31" s="20">
        <v>891</v>
      </c>
      <c r="T31" s="19">
        <v>44501</v>
      </c>
      <c r="U31" s="19">
        <v>44501</v>
      </c>
      <c r="V31" s="15">
        <f t="shared" si="0"/>
        <v>54188</v>
      </c>
    </row>
    <row r="32" spans="1:22" x14ac:dyDescent="0.25">
      <c r="A32" s="17" t="s">
        <v>24</v>
      </c>
      <c r="B32" s="17" t="s">
        <v>142</v>
      </c>
      <c r="C32" s="20">
        <v>984</v>
      </c>
      <c r="D32" s="20">
        <v>736</v>
      </c>
      <c r="E32" s="20">
        <v>326</v>
      </c>
      <c r="F32" s="20">
        <v>319</v>
      </c>
      <c r="G32" s="20">
        <v>278</v>
      </c>
      <c r="H32" s="20">
        <v>855</v>
      </c>
      <c r="I32" s="20">
        <v>855</v>
      </c>
      <c r="J32" s="20">
        <v>855</v>
      </c>
      <c r="K32" s="20">
        <v>855</v>
      </c>
      <c r="L32" s="20">
        <v>855</v>
      </c>
      <c r="M32" s="20">
        <v>855</v>
      </c>
      <c r="N32" s="20">
        <v>855</v>
      </c>
      <c r="O32" s="20">
        <v>814</v>
      </c>
      <c r="P32" s="20">
        <v>987</v>
      </c>
      <c r="Q32" s="20">
        <v>954</v>
      </c>
      <c r="R32" s="20">
        <v>104</v>
      </c>
      <c r="S32" s="20">
        <v>481</v>
      </c>
      <c r="T32" s="19">
        <v>44531</v>
      </c>
      <c r="U32" s="19">
        <v>44531</v>
      </c>
      <c r="V32" s="15">
        <f t="shared" si="0"/>
        <v>56499</v>
      </c>
    </row>
    <row r="33" spans="1:22" x14ac:dyDescent="0.25">
      <c r="A33" s="17" t="s">
        <v>25</v>
      </c>
      <c r="B33" s="17" t="s">
        <v>142</v>
      </c>
      <c r="C33" s="20">
        <v>150</v>
      </c>
      <c r="D33" s="20">
        <v>922</v>
      </c>
      <c r="E33" s="20">
        <v>521</v>
      </c>
      <c r="F33" s="20">
        <v>366</v>
      </c>
      <c r="G33" s="20">
        <v>771</v>
      </c>
      <c r="H33" s="20">
        <v>852</v>
      </c>
      <c r="I33" s="20">
        <v>852</v>
      </c>
      <c r="J33" s="20">
        <v>852</v>
      </c>
      <c r="K33" s="20">
        <v>852</v>
      </c>
      <c r="L33" s="20">
        <v>852</v>
      </c>
      <c r="M33" s="20">
        <v>852</v>
      </c>
      <c r="N33" s="20">
        <v>852</v>
      </c>
      <c r="O33" s="20">
        <v>736</v>
      </c>
      <c r="P33" s="20">
        <v>209</v>
      </c>
      <c r="Q33" s="20">
        <v>624</v>
      </c>
      <c r="R33" s="20">
        <v>310</v>
      </c>
      <c r="S33" s="20">
        <v>931</v>
      </c>
      <c r="T33" s="19">
        <v>44562</v>
      </c>
      <c r="U33" s="19">
        <v>44562</v>
      </c>
      <c r="V33" s="15">
        <f t="shared" si="0"/>
        <v>56066</v>
      </c>
    </row>
    <row r="34" spans="1:22" x14ac:dyDescent="0.25">
      <c r="A34" s="17" t="s">
        <v>26</v>
      </c>
      <c r="B34" s="17" t="s">
        <v>142</v>
      </c>
      <c r="C34" s="20">
        <v>834</v>
      </c>
      <c r="D34" s="20">
        <v>354</v>
      </c>
      <c r="E34" s="20">
        <v>817</v>
      </c>
      <c r="F34" s="20">
        <v>107</v>
      </c>
      <c r="G34" s="20">
        <v>247</v>
      </c>
      <c r="H34" s="20">
        <v>592</v>
      </c>
      <c r="I34" s="20">
        <v>592</v>
      </c>
      <c r="J34" s="20">
        <v>592</v>
      </c>
      <c r="K34" s="20">
        <v>592</v>
      </c>
      <c r="L34" s="20">
        <v>592</v>
      </c>
      <c r="M34" s="20">
        <v>592</v>
      </c>
      <c r="N34" s="20">
        <v>592</v>
      </c>
      <c r="O34" s="20">
        <v>228</v>
      </c>
      <c r="P34" s="20">
        <v>197</v>
      </c>
      <c r="Q34" s="20">
        <v>260</v>
      </c>
      <c r="R34" s="20">
        <v>140</v>
      </c>
      <c r="S34" s="20">
        <v>815</v>
      </c>
      <c r="T34" s="19">
        <v>44593</v>
      </c>
      <c r="U34" s="19">
        <v>44593</v>
      </c>
      <c r="V34" s="15">
        <f t="shared" si="0"/>
        <v>52736</v>
      </c>
    </row>
    <row r="35" spans="1:22" x14ac:dyDescent="0.25">
      <c r="A35" s="17" t="s">
        <v>27</v>
      </c>
      <c r="B35" s="17" t="s">
        <v>142</v>
      </c>
      <c r="C35" s="20">
        <v>492</v>
      </c>
      <c r="D35" s="20">
        <v>586</v>
      </c>
      <c r="E35" s="20">
        <v>193</v>
      </c>
      <c r="F35" s="20">
        <v>308</v>
      </c>
      <c r="G35" s="20">
        <v>680</v>
      </c>
      <c r="H35" s="20">
        <v>753</v>
      </c>
      <c r="I35" s="20">
        <v>753</v>
      </c>
      <c r="J35" s="20">
        <v>753</v>
      </c>
      <c r="K35" s="20">
        <v>753</v>
      </c>
      <c r="L35" s="20">
        <v>753</v>
      </c>
      <c r="M35" s="20">
        <v>753</v>
      </c>
      <c r="N35" s="20">
        <v>753</v>
      </c>
      <c r="O35" s="20">
        <v>404</v>
      </c>
      <c r="P35" s="20">
        <v>934</v>
      </c>
      <c r="Q35" s="20">
        <v>534</v>
      </c>
      <c r="R35" s="20">
        <v>639</v>
      </c>
      <c r="S35" s="20">
        <v>816</v>
      </c>
      <c r="T35" s="19">
        <v>44621</v>
      </c>
      <c r="U35" s="19">
        <v>44621</v>
      </c>
      <c r="V35" s="15">
        <f t="shared" si="0"/>
        <v>55478</v>
      </c>
    </row>
    <row r="36" spans="1:22" x14ac:dyDescent="0.25">
      <c r="A36" s="17" t="s">
        <v>28</v>
      </c>
      <c r="B36" s="17" t="s">
        <v>142</v>
      </c>
      <c r="C36" s="20">
        <v>422</v>
      </c>
      <c r="D36" s="20">
        <v>674</v>
      </c>
      <c r="E36" s="20">
        <v>618</v>
      </c>
      <c r="F36" s="20">
        <v>485</v>
      </c>
      <c r="G36" s="20">
        <v>400</v>
      </c>
      <c r="H36" s="20">
        <v>315</v>
      </c>
      <c r="I36" s="20">
        <v>315</v>
      </c>
      <c r="J36" s="20">
        <v>315</v>
      </c>
      <c r="K36" s="20">
        <v>315</v>
      </c>
      <c r="L36" s="20">
        <v>315</v>
      </c>
      <c r="M36" s="20">
        <v>315</v>
      </c>
      <c r="N36" s="20">
        <v>315</v>
      </c>
      <c r="O36" s="20">
        <v>727</v>
      </c>
      <c r="P36" s="20">
        <v>855</v>
      </c>
      <c r="Q36" s="20">
        <v>758</v>
      </c>
      <c r="R36" s="20">
        <v>179</v>
      </c>
      <c r="S36" s="20">
        <v>769</v>
      </c>
      <c r="T36" s="19">
        <v>44652</v>
      </c>
      <c r="U36" s="19">
        <v>44652</v>
      </c>
      <c r="V36" s="15">
        <f t="shared" si="0"/>
        <v>52744</v>
      </c>
    </row>
    <row r="37" spans="1:22" x14ac:dyDescent="0.25">
      <c r="A37" s="17" t="s">
        <v>29</v>
      </c>
      <c r="B37" s="17" t="s">
        <v>142</v>
      </c>
      <c r="C37" s="20">
        <v>223</v>
      </c>
      <c r="D37" s="20">
        <v>958</v>
      </c>
      <c r="E37" s="20">
        <v>990</v>
      </c>
      <c r="F37" s="20">
        <v>501</v>
      </c>
      <c r="G37" s="20">
        <v>895</v>
      </c>
      <c r="H37" s="20">
        <v>245</v>
      </c>
      <c r="I37" s="20">
        <v>245</v>
      </c>
      <c r="J37" s="20">
        <v>245</v>
      </c>
      <c r="K37" s="20">
        <v>245</v>
      </c>
      <c r="L37" s="20">
        <v>245</v>
      </c>
      <c r="M37" s="20">
        <v>245</v>
      </c>
      <c r="N37" s="20">
        <v>245</v>
      </c>
      <c r="O37" s="20">
        <v>355</v>
      </c>
      <c r="P37" s="20">
        <v>252</v>
      </c>
      <c r="Q37" s="20">
        <v>419</v>
      </c>
      <c r="R37" s="20">
        <v>485</v>
      </c>
      <c r="S37" s="20">
        <v>161</v>
      </c>
      <c r="T37" s="19">
        <v>44682</v>
      </c>
      <c r="U37" s="19">
        <v>44682</v>
      </c>
      <c r="V37" s="15">
        <f t="shared" si="0"/>
        <v>51636</v>
      </c>
    </row>
    <row r="38" spans="1:22" x14ac:dyDescent="0.25">
      <c r="A38" s="17" t="s">
        <v>30</v>
      </c>
      <c r="B38" s="17" t="s">
        <v>142</v>
      </c>
      <c r="C38" s="20">
        <v>223</v>
      </c>
      <c r="D38" s="20">
        <v>958</v>
      </c>
      <c r="E38" s="20">
        <v>990</v>
      </c>
      <c r="F38" s="20">
        <v>501</v>
      </c>
      <c r="G38" s="20">
        <v>895</v>
      </c>
      <c r="H38" s="20">
        <v>245</v>
      </c>
      <c r="I38" s="20">
        <v>245</v>
      </c>
      <c r="J38" s="20">
        <v>245</v>
      </c>
      <c r="K38" s="20">
        <v>245</v>
      </c>
      <c r="L38" s="20">
        <v>245</v>
      </c>
      <c r="M38" s="20">
        <v>245</v>
      </c>
      <c r="N38" s="20">
        <v>245</v>
      </c>
      <c r="O38" s="20">
        <v>355</v>
      </c>
      <c r="P38" s="20">
        <v>252</v>
      </c>
      <c r="Q38" s="20">
        <v>419</v>
      </c>
      <c r="R38" s="20">
        <v>485</v>
      </c>
      <c r="S38" s="20">
        <v>161</v>
      </c>
      <c r="T38" s="19">
        <v>44713</v>
      </c>
      <c r="U38" s="19">
        <v>44713</v>
      </c>
      <c r="V38" s="15">
        <f t="shared" ref="V38:V49" si="1">SUM(C38:T38)</f>
        <v>51667</v>
      </c>
    </row>
    <row r="39" spans="1:22" x14ac:dyDescent="0.25">
      <c r="A39" s="17" t="s">
        <v>31</v>
      </c>
      <c r="B39" s="17" t="s">
        <v>142</v>
      </c>
      <c r="C39" s="20">
        <v>223</v>
      </c>
      <c r="D39" s="20">
        <v>958</v>
      </c>
      <c r="E39" s="20">
        <v>990</v>
      </c>
      <c r="F39" s="20">
        <v>501</v>
      </c>
      <c r="G39" s="20">
        <v>895</v>
      </c>
      <c r="H39" s="20">
        <v>245</v>
      </c>
      <c r="I39" s="20">
        <v>245</v>
      </c>
      <c r="J39" s="20">
        <v>245</v>
      </c>
      <c r="K39" s="20">
        <v>245</v>
      </c>
      <c r="L39" s="20">
        <v>245</v>
      </c>
      <c r="M39" s="20">
        <v>245</v>
      </c>
      <c r="N39" s="20">
        <v>245</v>
      </c>
      <c r="O39" s="20">
        <v>355</v>
      </c>
      <c r="P39" s="20">
        <v>252</v>
      </c>
      <c r="Q39" s="20">
        <v>419</v>
      </c>
      <c r="R39" s="20">
        <v>485</v>
      </c>
      <c r="S39" s="20">
        <v>161</v>
      </c>
      <c r="T39" s="19">
        <v>44743</v>
      </c>
      <c r="U39" s="19">
        <v>44743</v>
      </c>
      <c r="V39" s="15">
        <f t="shared" si="1"/>
        <v>51697</v>
      </c>
    </row>
    <row r="40" spans="1:22" x14ac:dyDescent="0.25">
      <c r="A40" s="17" t="s">
        <v>32</v>
      </c>
      <c r="B40" s="17" t="s">
        <v>142</v>
      </c>
      <c r="C40" s="20">
        <v>223</v>
      </c>
      <c r="D40" s="20">
        <v>958</v>
      </c>
      <c r="E40" s="20">
        <v>990</v>
      </c>
      <c r="F40" s="20">
        <v>501</v>
      </c>
      <c r="G40" s="20">
        <v>895</v>
      </c>
      <c r="H40" s="20">
        <v>245</v>
      </c>
      <c r="I40" s="20">
        <v>245</v>
      </c>
      <c r="J40" s="20">
        <v>245</v>
      </c>
      <c r="K40" s="20">
        <v>245</v>
      </c>
      <c r="L40" s="20">
        <v>245</v>
      </c>
      <c r="M40" s="20">
        <v>245</v>
      </c>
      <c r="N40" s="20">
        <v>245</v>
      </c>
      <c r="O40" s="20">
        <v>355</v>
      </c>
      <c r="P40" s="20">
        <v>252</v>
      </c>
      <c r="Q40" s="20">
        <v>419</v>
      </c>
      <c r="R40" s="20">
        <v>485</v>
      </c>
      <c r="S40" s="20">
        <v>161</v>
      </c>
      <c r="T40" s="19">
        <v>44774</v>
      </c>
      <c r="U40" s="19">
        <v>44774</v>
      </c>
      <c r="V40" s="15">
        <f t="shared" si="1"/>
        <v>51728</v>
      </c>
    </row>
    <row r="41" spans="1:22" x14ac:dyDescent="0.25">
      <c r="A41" s="17" t="s">
        <v>33</v>
      </c>
      <c r="B41" s="17" t="s">
        <v>142</v>
      </c>
      <c r="C41" s="20">
        <v>223</v>
      </c>
      <c r="D41" s="20">
        <v>958</v>
      </c>
      <c r="E41" s="20">
        <v>990</v>
      </c>
      <c r="F41" s="20">
        <v>501</v>
      </c>
      <c r="G41" s="20">
        <v>895</v>
      </c>
      <c r="H41" s="20">
        <v>245</v>
      </c>
      <c r="I41" s="20">
        <v>245</v>
      </c>
      <c r="J41" s="20">
        <v>245</v>
      </c>
      <c r="K41" s="20">
        <v>245</v>
      </c>
      <c r="L41" s="20">
        <v>245</v>
      </c>
      <c r="M41" s="20">
        <v>245</v>
      </c>
      <c r="N41" s="20">
        <v>245</v>
      </c>
      <c r="O41" s="20">
        <v>355</v>
      </c>
      <c r="P41" s="20">
        <v>252</v>
      </c>
      <c r="Q41" s="20">
        <v>419</v>
      </c>
      <c r="R41" s="20">
        <v>485</v>
      </c>
      <c r="S41" s="20">
        <v>161</v>
      </c>
      <c r="T41" s="19">
        <v>44805</v>
      </c>
      <c r="U41" s="19">
        <v>44805</v>
      </c>
      <c r="V41" s="15">
        <f t="shared" si="1"/>
        <v>51759</v>
      </c>
    </row>
    <row r="42" spans="1:22" x14ac:dyDescent="0.25">
      <c r="A42" s="17" t="s">
        <v>34</v>
      </c>
      <c r="B42" s="17" t="s">
        <v>142</v>
      </c>
      <c r="C42" s="20">
        <v>223</v>
      </c>
      <c r="D42" s="20">
        <v>958</v>
      </c>
      <c r="E42" s="20">
        <v>990</v>
      </c>
      <c r="F42" s="20">
        <v>501</v>
      </c>
      <c r="G42" s="20">
        <v>895</v>
      </c>
      <c r="H42" s="20">
        <v>245</v>
      </c>
      <c r="I42" s="20">
        <v>245</v>
      </c>
      <c r="J42" s="20">
        <v>245</v>
      </c>
      <c r="K42" s="20">
        <v>245</v>
      </c>
      <c r="L42" s="20">
        <v>245</v>
      </c>
      <c r="M42" s="20">
        <v>245</v>
      </c>
      <c r="N42" s="20">
        <v>245</v>
      </c>
      <c r="O42" s="20">
        <v>355</v>
      </c>
      <c r="P42" s="20">
        <v>252</v>
      </c>
      <c r="Q42" s="20">
        <v>419</v>
      </c>
      <c r="R42" s="20">
        <v>485</v>
      </c>
      <c r="S42" s="20">
        <v>161</v>
      </c>
      <c r="T42" s="19">
        <v>44835</v>
      </c>
      <c r="U42" s="19">
        <v>44835</v>
      </c>
      <c r="V42" s="15">
        <f t="shared" si="1"/>
        <v>51789</v>
      </c>
    </row>
    <row r="43" spans="1:22" x14ac:dyDescent="0.25">
      <c r="A43" s="17" t="s">
        <v>35</v>
      </c>
      <c r="B43" s="17" t="s">
        <v>142</v>
      </c>
      <c r="C43" s="20">
        <v>223</v>
      </c>
      <c r="D43" s="20">
        <v>958</v>
      </c>
      <c r="E43" s="20">
        <v>990</v>
      </c>
      <c r="F43" s="20">
        <v>501</v>
      </c>
      <c r="G43" s="20">
        <v>895</v>
      </c>
      <c r="H43" s="20">
        <v>245</v>
      </c>
      <c r="I43" s="20">
        <v>245</v>
      </c>
      <c r="J43" s="20">
        <v>245</v>
      </c>
      <c r="K43" s="20">
        <v>245</v>
      </c>
      <c r="L43" s="20">
        <v>245</v>
      </c>
      <c r="M43" s="20">
        <v>245</v>
      </c>
      <c r="N43" s="20">
        <v>245</v>
      </c>
      <c r="O43" s="20">
        <v>355</v>
      </c>
      <c r="P43" s="20">
        <v>252</v>
      </c>
      <c r="Q43" s="20">
        <v>419</v>
      </c>
      <c r="R43" s="20">
        <v>485</v>
      </c>
      <c r="S43" s="20">
        <v>161</v>
      </c>
      <c r="T43" s="19">
        <v>44866</v>
      </c>
      <c r="U43" s="19">
        <v>44866</v>
      </c>
      <c r="V43" s="15">
        <f t="shared" si="1"/>
        <v>51820</v>
      </c>
    </row>
    <row r="44" spans="1:22" x14ac:dyDescent="0.25">
      <c r="A44" s="17" t="s">
        <v>36</v>
      </c>
      <c r="B44" s="17" t="s">
        <v>142</v>
      </c>
      <c r="C44" s="20">
        <v>223</v>
      </c>
      <c r="D44" s="20">
        <v>958</v>
      </c>
      <c r="E44" s="20">
        <v>990</v>
      </c>
      <c r="F44" s="20">
        <v>501</v>
      </c>
      <c r="G44" s="20">
        <v>895</v>
      </c>
      <c r="H44" s="20">
        <v>245</v>
      </c>
      <c r="I44" s="20">
        <v>245</v>
      </c>
      <c r="J44" s="20">
        <v>245</v>
      </c>
      <c r="K44" s="20">
        <v>245</v>
      </c>
      <c r="L44" s="20">
        <v>245</v>
      </c>
      <c r="M44" s="20">
        <v>245</v>
      </c>
      <c r="N44" s="20">
        <v>245</v>
      </c>
      <c r="O44" s="20">
        <v>355</v>
      </c>
      <c r="P44" s="20">
        <v>252</v>
      </c>
      <c r="Q44" s="20">
        <v>419</v>
      </c>
      <c r="R44" s="20">
        <v>485</v>
      </c>
      <c r="S44" s="20">
        <v>161</v>
      </c>
      <c r="T44" s="19">
        <v>44896</v>
      </c>
      <c r="U44" s="19">
        <v>44896</v>
      </c>
      <c r="V44" s="15">
        <f t="shared" si="1"/>
        <v>51850</v>
      </c>
    </row>
    <row r="45" spans="1:22" x14ac:dyDescent="0.25">
      <c r="A45" s="17" t="s">
        <v>37</v>
      </c>
      <c r="B45" s="17" t="s">
        <v>142</v>
      </c>
      <c r="C45" s="20">
        <v>223</v>
      </c>
      <c r="D45" s="20">
        <v>958</v>
      </c>
      <c r="E45" s="20">
        <v>990</v>
      </c>
      <c r="F45" s="20">
        <v>501</v>
      </c>
      <c r="G45" s="20">
        <v>895</v>
      </c>
      <c r="H45" s="20">
        <v>245</v>
      </c>
      <c r="I45" s="20">
        <v>245</v>
      </c>
      <c r="J45" s="20">
        <v>245</v>
      </c>
      <c r="K45" s="20">
        <v>245</v>
      </c>
      <c r="L45" s="20">
        <v>245</v>
      </c>
      <c r="M45" s="20">
        <v>245</v>
      </c>
      <c r="N45" s="20">
        <v>245</v>
      </c>
      <c r="O45" s="20">
        <v>355</v>
      </c>
      <c r="P45" s="20">
        <v>252</v>
      </c>
      <c r="Q45" s="20">
        <v>419</v>
      </c>
      <c r="R45" s="20">
        <v>485</v>
      </c>
      <c r="S45" s="20">
        <v>161</v>
      </c>
      <c r="T45" s="19">
        <v>44927</v>
      </c>
      <c r="U45" s="19">
        <v>44927</v>
      </c>
      <c r="V45" s="15">
        <f t="shared" si="1"/>
        <v>51881</v>
      </c>
    </row>
    <row r="46" spans="1:22" x14ac:dyDescent="0.25">
      <c r="A46" s="17" t="s">
        <v>38</v>
      </c>
      <c r="B46" s="17" t="s">
        <v>142</v>
      </c>
      <c r="C46" s="20">
        <v>223</v>
      </c>
      <c r="D46" s="20">
        <v>958</v>
      </c>
      <c r="E46" s="20">
        <v>990</v>
      </c>
      <c r="F46" s="20">
        <v>501</v>
      </c>
      <c r="G46" s="20">
        <v>895</v>
      </c>
      <c r="H46" s="20">
        <v>245</v>
      </c>
      <c r="I46" s="20">
        <v>245</v>
      </c>
      <c r="J46" s="20">
        <v>245</v>
      </c>
      <c r="K46" s="20">
        <v>245</v>
      </c>
      <c r="L46" s="20">
        <v>245</v>
      </c>
      <c r="M46" s="20">
        <v>245</v>
      </c>
      <c r="N46" s="20">
        <v>245</v>
      </c>
      <c r="O46" s="20">
        <v>355</v>
      </c>
      <c r="P46" s="20">
        <v>252</v>
      </c>
      <c r="Q46" s="20">
        <v>419</v>
      </c>
      <c r="R46" s="20">
        <v>485</v>
      </c>
      <c r="S46" s="20">
        <v>161</v>
      </c>
      <c r="T46" s="19">
        <v>44958</v>
      </c>
      <c r="U46" s="19">
        <v>44958</v>
      </c>
      <c r="V46" s="15">
        <f t="shared" si="1"/>
        <v>51912</v>
      </c>
    </row>
    <row r="47" spans="1:22" x14ac:dyDescent="0.25">
      <c r="A47" s="17" t="s">
        <v>39</v>
      </c>
      <c r="B47" s="17" t="s">
        <v>142</v>
      </c>
      <c r="C47" s="20">
        <v>223</v>
      </c>
      <c r="D47" s="20">
        <v>958</v>
      </c>
      <c r="E47" s="20">
        <v>990</v>
      </c>
      <c r="F47" s="20">
        <v>501</v>
      </c>
      <c r="G47" s="20">
        <v>895</v>
      </c>
      <c r="H47" s="20">
        <v>245</v>
      </c>
      <c r="I47" s="20">
        <v>245</v>
      </c>
      <c r="J47" s="20">
        <v>245</v>
      </c>
      <c r="K47" s="20">
        <v>245</v>
      </c>
      <c r="L47" s="20">
        <v>245</v>
      </c>
      <c r="M47" s="20">
        <v>245</v>
      </c>
      <c r="N47" s="20">
        <v>245</v>
      </c>
      <c r="O47" s="20">
        <v>355</v>
      </c>
      <c r="P47" s="20">
        <v>252</v>
      </c>
      <c r="Q47" s="20">
        <v>419</v>
      </c>
      <c r="R47" s="20">
        <v>485</v>
      </c>
      <c r="S47" s="20">
        <v>161</v>
      </c>
      <c r="T47" s="19">
        <v>44986</v>
      </c>
      <c r="U47" s="19">
        <v>44986</v>
      </c>
      <c r="V47" s="15">
        <f t="shared" si="1"/>
        <v>51940</v>
      </c>
    </row>
    <row r="48" spans="1:22" x14ac:dyDescent="0.25">
      <c r="A48" s="17" t="s">
        <v>40</v>
      </c>
      <c r="B48" s="17" t="s">
        <v>142</v>
      </c>
      <c r="C48" s="20">
        <v>223</v>
      </c>
      <c r="D48" s="20">
        <v>958</v>
      </c>
      <c r="E48" s="20">
        <v>990</v>
      </c>
      <c r="F48" s="20">
        <v>501</v>
      </c>
      <c r="G48" s="20">
        <v>895</v>
      </c>
      <c r="H48" s="20">
        <v>245</v>
      </c>
      <c r="I48" s="20">
        <v>245</v>
      </c>
      <c r="J48" s="20">
        <v>245</v>
      </c>
      <c r="K48" s="20">
        <v>245</v>
      </c>
      <c r="L48" s="20">
        <v>245</v>
      </c>
      <c r="M48" s="20">
        <v>245</v>
      </c>
      <c r="N48" s="20">
        <v>245</v>
      </c>
      <c r="O48" s="20">
        <v>355</v>
      </c>
      <c r="P48" s="20">
        <v>252</v>
      </c>
      <c r="Q48" s="20">
        <v>419</v>
      </c>
      <c r="R48" s="20">
        <v>485</v>
      </c>
      <c r="S48" s="20">
        <v>161</v>
      </c>
      <c r="T48" s="19">
        <v>45017</v>
      </c>
      <c r="U48" s="19">
        <v>45017</v>
      </c>
      <c r="V48" s="15">
        <f t="shared" si="1"/>
        <v>51971</v>
      </c>
    </row>
    <row r="49" spans="1:22" x14ac:dyDescent="0.25">
      <c r="A49" s="17" t="s">
        <v>41</v>
      </c>
      <c r="B49" s="17" t="s">
        <v>142</v>
      </c>
      <c r="C49" s="20">
        <v>223</v>
      </c>
      <c r="D49" s="20">
        <v>958</v>
      </c>
      <c r="E49" s="20">
        <v>990</v>
      </c>
      <c r="F49" s="20">
        <v>501</v>
      </c>
      <c r="G49" s="20">
        <v>895</v>
      </c>
      <c r="H49" s="20">
        <v>245</v>
      </c>
      <c r="I49" s="20">
        <v>245</v>
      </c>
      <c r="J49" s="20">
        <v>245</v>
      </c>
      <c r="K49" s="20">
        <v>245</v>
      </c>
      <c r="L49" s="20">
        <v>245</v>
      </c>
      <c r="M49" s="20">
        <v>245</v>
      </c>
      <c r="N49" s="20">
        <v>245</v>
      </c>
      <c r="O49" s="20">
        <v>355</v>
      </c>
      <c r="P49" s="20">
        <v>252</v>
      </c>
      <c r="Q49" s="20">
        <v>419</v>
      </c>
      <c r="R49" s="20">
        <v>485</v>
      </c>
      <c r="S49" s="20">
        <v>161</v>
      </c>
      <c r="T49" s="19">
        <v>45047</v>
      </c>
      <c r="U49" s="19">
        <v>45047</v>
      </c>
      <c r="V49" s="15">
        <f t="shared" si="1"/>
        <v>52001</v>
      </c>
    </row>
    <row r="50" spans="1:22" x14ac:dyDescent="0.25">
      <c r="A50" s="17" t="s">
        <v>30</v>
      </c>
      <c r="B50" s="17" t="s">
        <v>142</v>
      </c>
      <c r="C50" s="20">
        <v>471</v>
      </c>
      <c r="D50" s="20">
        <v>562</v>
      </c>
      <c r="E50" s="20">
        <v>696</v>
      </c>
      <c r="F50" s="20">
        <v>346</v>
      </c>
      <c r="G50" s="20">
        <v>149</v>
      </c>
      <c r="H50" s="20">
        <v>224</v>
      </c>
      <c r="I50" s="20">
        <v>224</v>
      </c>
      <c r="J50" s="20">
        <v>224</v>
      </c>
      <c r="K50" s="20">
        <v>224</v>
      </c>
      <c r="L50" s="20">
        <v>224</v>
      </c>
      <c r="M50" s="20">
        <v>224</v>
      </c>
      <c r="N50" s="20">
        <v>224</v>
      </c>
      <c r="O50" s="20">
        <v>386</v>
      </c>
      <c r="P50" s="20">
        <v>352</v>
      </c>
      <c r="Q50" s="20">
        <v>539</v>
      </c>
      <c r="R50" s="20">
        <v>505</v>
      </c>
      <c r="S50" s="20">
        <v>213</v>
      </c>
      <c r="T50" s="19">
        <v>45078</v>
      </c>
      <c r="U50" s="19">
        <v>45078</v>
      </c>
      <c r="V50" s="15">
        <f t="shared" si="0"/>
        <v>50865</v>
      </c>
    </row>
    <row r="51" spans="1:22" x14ac:dyDescent="0.25">
      <c r="A51" s="17" t="s">
        <v>31</v>
      </c>
      <c r="B51" s="17" t="s">
        <v>142</v>
      </c>
      <c r="C51" s="20">
        <v>987</v>
      </c>
      <c r="D51" s="20">
        <v>960</v>
      </c>
      <c r="E51" s="20">
        <v>939</v>
      </c>
      <c r="F51" s="20">
        <v>212</v>
      </c>
      <c r="G51" s="20">
        <v>888</v>
      </c>
      <c r="H51" s="20">
        <v>319</v>
      </c>
      <c r="I51" s="20">
        <v>319</v>
      </c>
      <c r="J51" s="20">
        <v>319</v>
      </c>
      <c r="K51" s="20">
        <v>319</v>
      </c>
      <c r="L51" s="20">
        <v>319</v>
      </c>
      <c r="M51" s="20">
        <v>319</v>
      </c>
      <c r="N51" s="20">
        <v>319</v>
      </c>
      <c r="O51" s="20">
        <v>636</v>
      </c>
      <c r="P51" s="20">
        <v>538</v>
      </c>
      <c r="Q51" s="20">
        <v>555</v>
      </c>
      <c r="R51" s="20">
        <v>548</v>
      </c>
      <c r="S51" s="20">
        <v>141</v>
      </c>
      <c r="T51" s="19">
        <v>45108</v>
      </c>
      <c r="U51" s="19">
        <v>45108</v>
      </c>
      <c r="V51" s="15">
        <f t="shared" si="0"/>
        <v>53745</v>
      </c>
    </row>
    <row r="52" spans="1:22" x14ac:dyDescent="0.25">
      <c r="A52" s="17" t="s">
        <v>32</v>
      </c>
      <c r="B52" s="17" t="s">
        <v>142</v>
      </c>
      <c r="C52" s="20">
        <v>836</v>
      </c>
      <c r="D52" s="20">
        <v>260</v>
      </c>
      <c r="E52" s="20">
        <v>594</v>
      </c>
      <c r="F52" s="20">
        <v>399</v>
      </c>
      <c r="G52" s="20">
        <v>923</v>
      </c>
      <c r="H52" s="20">
        <v>162</v>
      </c>
      <c r="I52" s="20">
        <v>162</v>
      </c>
      <c r="J52" s="20">
        <v>162</v>
      </c>
      <c r="K52" s="20">
        <v>162</v>
      </c>
      <c r="L52" s="20">
        <v>162</v>
      </c>
      <c r="M52" s="20">
        <v>162</v>
      </c>
      <c r="N52" s="20">
        <v>162</v>
      </c>
      <c r="O52" s="20">
        <v>328</v>
      </c>
      <c r="P52" s="20">
        <v>585</v>
      </c>
      <c r="Q52" s="20">
        <v>285</v>
      </c>
      <c r="R52" s="20">
        <v>291</v>
      </c>
      <c r="S52" s="20">
        <v>575</v>
      </c>
      <c r="T52" s="19">
        <v>45139</v>
      </c>
      <c r="U52" s="19">
        <v>45139</v>
      </c>
      <c r="V52" s="15">
        <f t="shared" si="0"/>
        <v>51349</v>
      </c>
    </row>
    <row r="53" spans="1:22" x14ac:dyDescent="0.25">
      <c r="A53" s="17" t="s">
        <v>33</v>
      </c>
      <c r="B53" s="17" t="s">
        <v>142</v>
      </c>
      <c r="C53" s="20">
        <v>326</v>
      </c>
      <c r="D53" s="20">
        <v>418</v>
      </c>
      <c r="E53" s="20">
        <v>811</v>
      </c>
      <c r="F53" s="20">
        <v>308</v>
      </c>
      <c r="G53" s="20">
        <v>440</v>
      </c>
      <c r="H53" s="20">
        <v>621</v>
      </c>
      <c r="I53" s="20">
        <v>621</v>
      </c>
      <c r="J53" s="20">
        <v>621</v>
      </c>
      <c r="K53" s="20">
        <v>621</v>
      </c>
      <c r="L53" s="20">
        <v>621</v>
      </c>
      <c r="M53" s="20">
        <v>621</v>
      </c>
      <c r="N53" s="20">
        <v>621</v>
      </c>
      <c r="O53" s="20">
        <v>629</v>
      </c>
      <c r="P53" s="20">
        <v>308</v>
      </c>
      <c r="Q53" s="20">
        <v>307</v>
      </c>
      <c r="R53" s="20">
        <v>501</v>
      </c>
      <c r="S53" s="20">
        <v>485</v>
      </c>
      <c r="T53" s="19">
        <v>45170</v>
      </c>
      <c r="U53" s="19">
        <v>45170</v>
      </c>
      <c r="V53" s="15">
        <f t="shared" si="0"/>
        <v>54050</v>
      </c>
    </row>
    <row r="54" spans="1:22" x14ac:dyDescent="0.25">
      <c r="A54" s="17" t="s">
        <v>34</v>
      </c>
      <c r="B54" s="17" t="s">
        <v>142</v>
      </c>
      <c r="C54" s="20">
        <v>555</v>
      </c>
      <c r="D54" s="20">
        <v>659</v>
      </c>
      <c r="E54" s="20">
        <v>254</v>
      </c>
      <c r="F54" s="20">
        <v>390</v>
      </c>
      <c r="G54" s="20">
        <v>631</v>
      </c>
      <c r="H54" s="20">
        <v>370</v>
      </c>
      <c r="I54" s="20">
        <v>370</v>
      </c>
      <c r="J54" s="20">
        <v>370</v>
      </c>
      <c r="K54" s="20">
        <v>370</v>
      </c>
      <c r="L54" s="20">
        <v>370</v>
      </c>
      <c r="M54" s="20">
        <v>370</v>
      </c>
      <c r="N54" s="20">
        <v>370</v>
      </c>
      <c r="O54" s="20">
        <v>245</v>
      </c>
      <c r="P54" s="20">
        <v>414</v>
      </c>
      <c r="Q54" s="20">
        <v>421</v>
      </c>
      <c r="R54" s="20">
        <v>404</v>
      </c>
      <c r="S54" s="20">
        <v>108</v>
      </c>
      <c r="T54" s="19">
        <v>45200</v>
      </c>
      <c r="U54" s="19">
        <v>45200</v>
      </c>
      <c r="V54" s="15">
        <f t="shared" si="0"/>
        <v>51871</v>
      </c>
    </row>
    <row r="55" spans="1:22" x14ac:dyDescent="0.25">
      <c r="A55" s="17" t="s">
        <v>35</v>
      </c>
      <c r="B55" s="17" t="s">
        <v>142</v>
      </c>
      <c r="C55" s="20">
        <v>834</v>
      </c>
      <c r="D55" s="20">
        <v>540</v>
      </c>
      <c r="E55" s="20">
        <v>625</v>
      </c>
      <c r="F55" s="20">
        <v>874</v>
      </c>
      <c r="G55" s="20">
        <v>375</v>
      </c>
      <c r="H55" s="20">
        <v>214</v>
      </c>
      <c r="I55" s="20">
        <v>214</v>
      </c>
      <c r="J55" s="20">
        <v>214</v>
      </c>
      <c r="K55" s="20">
        <v>214</v>
      </c>
      <c r="L55" s="20">
        <v>214</v>
      </c>
      <c r="M55" s="20">
        <v>214</v>
      </c>
      <c r="N55" s="20">
        <v>214</v>
      </c>
      <c r="O55" s="20">
        <v>116</v>
      </c>
      <c r="P55" s="20">
        <v>834</v>
      </c>
      <c r="Q55" s="20">
        <v>802</v>
      </c>
      <c r="R55" s="20">
        <v>464</v>
      </c>
      <c r="S55" s="20">
        <v>421</v>
      </c>
      <c r="T55" s="19">
        <v>45231</v>
      </c>
      <c r="U55" s="19">
        <v>45231</v>
      </c>
      <c r="V55" s="15">
        <f t="shared" si="0"/>
        <v>52614</v>
      </c>
    </row>
    <row r="56" spans="1:22" x14ac:dyDescent="0.25">
      <c r="A56" s="17" t="s">
        <v>36</v>
      </c>
      <c r="B56" s="17" t="s">
        <v>142</v>
      </c>
      <c r="C56" s="20">
        <v>729</v>
      </c>
      <c r="D56" s="20">
        <v>216</v>
      </c>
      <c r="E56" s="20">
        <v>864</v>
      </c>
      <c r="F56" s="20">
        <v>436</v>
      </c>
      <c r="G56" s="20">
        <v>976</v>
      </c>
      <c r="H56" s="20">
        <v>375</v>
      </c>
      <c r="I56" s="20">
        <v>375</v>
      </c>
      <c r="J56" s="20">
        <v>375</v>
      </c>
      <c r="K56" s="20">
        <v>375</v>
      </c>
      <c r="L56" s="20">
        <v>375</v>
      </c>
      <c r="M56" s="20">
        <v>375</v>
      </c>
      <c r="N56" s="20">
        <v>375</v>
      </c>
      <c r="O56" s="20">
        <v>495</v>
      </c>
      <c r="P56" s="20">
        <v>526</v>
      </c>
      <c r="Q56" s="20">
        <v>934</v>
      </c>
      <c r="R56" s="20">
        <v>708</v>
      </c>
      <c r="S56" s="20">
        <v>471</v>
      </c>
      <c r="T56" s="19">
        <v>45261</v>
      </c>
      <c r="U56" s="19">
        <v>45261</v>
      </c>
      <c r="V56" s="15">
        <f t="shared" si="0"/>
        <v>54241</v>
      </c>
    </row>
    <row r="57" spans="1:22" x14ac:dyDescent="0.25">
      <c r="A57" s="17" t="s">
        <v>37</v>
      </c>
      <c r="B57" s="17" t="s">
        <v>142</v>
      </c>
      <c r="C57" s="20">
        <v>863</v>
      </c>
      <c r="D57" s="20">
        <v>535</v>
      </c>
      <c r="E57" s="20">
        <v>645</v>
      </c>
      <c r="F57" s="20">
        <v>489</v>
      </c>
      <c r="G57" s="20">
        <v>243</v>
      </c>
      <c r="H57" s="20">
        <v>759</v>
      </c>
      <c r="I57" s="20">
        <v>759</v>
      </c>
      <c r="J57" s="20">
        <v>759</v>
      </c>
      <c r="K57" s="20">
        <v>759</v>
      </c>
      <c r="L57" s="20">
        <v>759</v>
      </c>
      <c r="M57" s="20">
        <v>759</v>
      </c>
      <c r="N57" s="20">
        <v>759</v>
      </c>
      <c r="O57" s="20">
        <v>368</v>
      </c>
      <c r="P57" s="20">
        <v>863</v>
      </c>
      <c r="Q57" s="20">
        <v>108</v>
      </c>
      <c r="R57" s="20">
        <v>500</v>
      </c>
      <c r="S57" s="20">
        <v>136</v>
      </c>
      <c r="T57" s="19">
        <v>45292</v>
      </c>
      <c r="U57" s="19">
        <v>45292</v>
      </c>
      <c r="V57" s="15">
        <f t="shared" si="0"/>
        <v>55355</v>
      </c>
    </row>
    <row r="58" spans="1:22" x14ac:dyDescent="0.25">
      <c r="A58" s="17" t="s">
        <v>38</v>
      </c>
      <c r="B58" s="17" t="s">
        <v>142</v>
      </c>
      <c r="C58" s="20">
        <v>800</v>
      </c>
      <c r="D58" s="20">
        <v>574</v>
      </c>
      <c r="E58" s="20">
        <v>352</v>
      </c>
      <c r="F58" s="20">
        <v>426</v>
      </c>
      <c r="G58" s="20">
        <v>682</v>
      </c>
      <c r="H58" s="20">
        <v>848</v>
      </c>
      <c r="I58" s="20">
        <v>848</v>
      </c>
      <c r="J58" s="20">
        <v>848</v>
      </c>
      <c r="K58" s="20">
        <v>848</v>
      </c>
      <c r="L58" s="20">
        <v>848</v>
      </c>
      <c r="M58" s="20">
        <v>848</v>
      </c>
      <c r="N58" s="20">
        <v>848</v>
      </c>
      <c r="O58" s="20">
        <v>725</v>
      </c>
      <c r="P58" s="20">
        <v>328</v>
      </c>
      <c r="Q58" s="20">
        <v>488</v>
      </c>
      <c r="R58" s="20">
        <v>240</v>
      </c>
      <c r="S58" s="20">
        <v>886</v>
      </c>
      <c r="T58" s="19">
        <v>45323</v>
      </c>
      <c r="U58" s="19">
        <v>45323</v>
      </c>
      <c r="V58" s="15">
        <f t="shared" si="0"/>
        <v>56760</v>
      </c>
    </row>
    <row r="59" spans="1:22" x14ac:dyDescent="0.25">
      <c r="A59" s="17" t="s">
        <v>39</v>
      </c>
      <c r="B59" s="17" t="s">
        <v>142</v>
      </c>
      <c r="C59" s="20">
        <v>884</v>
      </c>
      <c r="D59" s="20">
        <v>227</v>
      </c>
      <c r="E59" s="20">
        <v>337</v>
      </c>
      <c r="F59" s="20">
        <v>843</v>
      </c>
      <c r="G59" s="20">
        <v>211</v>
      </c>
      <c r="H59" s="20">
        <v>994</v>
      </c>
      <c r="I59" s="20">
        <v>994</v>
      </c>
      <c r="J59" s="20">
        <v>994</v>
      </c>
      <c r="K59" s="20">
        <v>994</v>
      </c>
      <c r="L59" s="20">
        <v>994</v>
      </c>
      <c r="M59" s="20">
        <v>994</v>
      </c>
      <c r="N59" s="20">
        <v>994</v>
      </c>
      <c r="O59" s="20">
        <v>679</v>
      </c>
      <c r="P59" s="20">
        <v>245</v>
      </c>
      <c r="Q59" s="20">
        <v>136</v>
      </c>
      <c r="R59" s="20">
        <v>491</v>
      </c>
      <c r="S59" s="20">
        <v>149</v>
      </c>
      <c r="T59" s="19">
        <v>45352</v>
      </c>
      <c r="U59" s="19">
        <v>45352</v>
      </c>
      <c r="V59" s="15">
        <f t="shared" si="0"/>
        <v>56512</v>
      </c>
    </row>
    <row r="60" spans="1:22" x14ac:dyDescent="0.25">
      <c r="A60" s="17" t="s">
        <v>40</v>
      </c>
      <c r="B60" s="17" t="s">
        <v>142</v>
      </c>
      <c r="C60" s="20">
        <v>135</v>
      </c>
      <c r="D60" s="20">
        <v>725</v>
      </c>
      <c r="E60" s="20">
        <v>698</v>
      </c>
      <c r="F60" s="20">
        <v>277</v>
      </c>
      <c r="G60" s="20">
        <v>955</v>
      </c>
      <c r="H60" s="20">
        <v>714</v>
      </c>
      <c r="I60" s="20">
        <v>714</v>
      </c>
      <c r="J60" s="20">
        <v>714</v>
      </c>
      <c r="K60" s="20">
        <v>714</v>
      </c>
      <c r="L60" s="20">
        <v>714</v>
      </c>
      <c r="M60" s="20">
        <v>714</v>
      </c>
      <c r="N60" s="20">
        <v>714</v>
      </c>
      <c r="O60" s="20">
        <v>799</v>
      </c>
      <c r="P60" s="20">
        <v>500</v>
      </c>
      <c r="Q60" s="20">
        <v>963</v>
      </c>
      <c r="R60" s="20">
        <v>931</v>
      </c>
      <c r="S60" s="20">
        <v>976</v>
      </c>
      <c r="T60" s="19">
        <v>45383</v>
      </c>
      <c r="U60" s="19">
        <v>45383</v>
      </c>
      <c r="V60" s="15">
        <f t="shared" si="0"/>
        <v>57340</v>
      </c>
    </row>
    <row r="61" spans="1:22" x14ac:dyDescent="0.25">
      <c r="A61" s="17" t="s">
        <v>41</v>
      </c>
      <c r="B61" s="17" t="s">
        <v>142</v>
      </c>
      <c r="C61" s="20">
        <v>135</v>
      </c>
      <c r="D61" s="20">
        <v>725</v>
      </c>
      <c r="E61" s="20">
        <v>698</v>
      </c>
      <c r="F61" s="20">
        <v>277</v>
      </c>
      <c r="G61" s="20">
        <v>955</v>
      </c>
      <c r="H61" s="20">
        <v>714</v>
      </c>
      <c r="I61" s="20">
        <v>714</v>
      </c>
      <c r="J61" s="20">
        <v>714</v>
      </c>
      <c r="K61" s="20">
        <v>714</v>
      </c>
      <c r="L61" s="20">
        <v>714</v>
      </c>
      <c r="M61" s="20">
        <v>714</v>
      </c>
      <c r="N61" s="20">
        <v>714</v>
      </c>
      <c r="O61" s="20">
        <v>799</v>
      </c>
      <c r="P61" s="20">
        <v>500</v>
      </c>
      <c r="Q61" s="20">
        <v>963</v>
      </c>
      <c r="R61" s="20">
        <v>931</v>
      </c>
      <c r="S61" s="20">
        <v>976</v>
      </c>
      <c r="T61" s="19">
        <v>45413</v>
      </c>
      <c r="U61" s="19">
        <v>45413</v>
      </c>
      <c r="V61" s="15">
        <f t="shared" ref="V61" si="2">SUM(C61:T61)</f>
        <v>57370</v>
      </c>
    </row>
    <row r="62" spans="1:22" x14ac:dyDescent="0.25">
      <c r="A62" s="13" t="s">
        <v>108</v>
      </c>
      <c r="B62" s="13"/>
      <c r="C62" s="13">
        <f>SUM(C9:C60)</f>
        <v>26708</v>
      </c>
      <c r="D62" s="13">
        <f t="shared" ref="D62:S62" si="3">SUM(D9:D60)</f>
        <v>35119</v>
      </c>
      <c r="E62" s="13">
        <f t="shared" si="3"/>
        <v>34803</v>
      </c>
      <c r="F62" s="13">
        <f t="shared" si="3"/>
        <v>26535</v>
      </c>
      <c r="G62" s="13">
        <f t="shared" si="3"/>
        <v>35085</v>
      </c>
      <c r="H62" s="13">
        <f t="shared" si="3"/>
        <v>25916</v>
      </c>
      <c r="I62" s="13">
        <f t="shared" ref="I62:N62" si="4">SUM(I9:I60)</f>
        <v>25916</v>
      </c>
      <c r="J62" s="13">
        <f t="shared" si="4"/>
        <v>25916</v>
      </c>
      <c r="K62" s="13">
        <f t="shared" si="4"/>
        <v>25916</v>
      </c>
      <c r="L62" s="13">
        <f t="shared" si="4"/>
        <v>25916</v>
      </c>
      <c r="M62" s="13">
        <f t="shared" si="4"/>
        <v>25916</v>
      </c>
      <c r="N62" s="13">
        <f t="shared" si="4"/>
        <v>25916</v>
      </c>
      <c r="O62" s="13">
        <f t="shared" si="3"/>
        <v>26098</v>
      </c>
      <c r="P62" s="13">
        <f t="shared" si="3"/>
        <v>26053</v>
      </c>
      <c r="Q62" s="13">
        <f t="shared" si="3"/>
        <v>27372</v>
      </c>
      <c r="R62" s="13">
        <f t="shared" si="3"/>
        <v>25493</v>
      </c>
      <c r="S62" s="13">
        <f t="shared" si="3"/>
        <v>24805</v>
      </c>
      <c r="T62" s="19">
        <v>45444</v>
      </c>
      <c r="U62" s="19">
        <v>45444</v>
      </c>
      <c r="V62" s="15">
        <f t="shared" si="0"/>
        <v>514927</v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&amp;Cстраница &amp;P из &amp;N</oddHeader>
    <oddFooter>&amp;Cавтор</oddFooter>
    <firstHeader>&amp;Cстраница  &amp;P из &amp;N</firstHeader>
  </headerFooter>
  <rowBreaks count="1" manualBreakCount="1">
    <brk id="46" max="16383" man="1"/>
  </rowBreaks>
  <colBreaks count="2" manualBreakCount="2">
    <brk id="7" max="1048575" man="1"/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A33F-D7DA-4E35-AF30-81EED6AD2218}">
  <sheetPr codeName="Лист19"/>
  <dimension ref="A1:Y101"/>
  <sheetViews>
    <sheetView zoomScale="140" zoomScaleNormal="140" workbookViewId="0">
      <selection sqref="A1:XFD1"/>
    </sheetView>
  </sheetViews>
  <sheetFormatPr defaultRowHeight="15" x14ac:dyDescent="0.25"/>
  <cols>
    <col min="1" max="1" width="18.7109375" bestFit="1" customWidth="1"/>
    <col min="2" max="2" width="8.140625" bestFit="1" customWidth="1"/>
    <col min="3" max="3" width="9.85546875" customWidth="1"/>
  </cols>
  <sheetData>
    <row r="1" spans="1:25" x14ac:dyDescent="0.25">
      <c r="A1" s="1" t="s">
        <v>0</v>
      </c>
      <c r="B1" s="2">
        <v>43466</v>
      </c>
      <c r="C1" s="2">
        <v>43497</v>
      </c>
      <c r="D1" s="2">
        <v>43525</v>
      </c>
      <c r="E1" s="2">
        <v>43556</v>
      </c>
      <c r="F1" s="2">
        <v>43586</v>
      </c>
      <c r="G1" s="2">
        <v>43617</v>
      </c>
      <c r="H1" s="2">
        <v>43647</v>
      </c>
      <c r="I1" s="2">
        <v>43678</v>
      </c>
      <c r="J1" s="2">
        <v>43709</v>
      </c>
      <c r="K1" s="2">
        <v>43739</v>
      </c>
      <c r="L1" s="2">
        <v>43770</v>
      </c>
      <c r="M1" s="2">
        <v>43800</v>
      </c>
      <c r="N1" s="2">
        <v>43831</v>
      </c>
      <c r="O1" s="2">
        <v>43862</v>
      </c>
      <c r="P1" s="2">
        <v>43891</v>
      </c>
      <c r="Q1" s="2">
        <v>43922</v>
      </c>
      <c r="R1" s="2">
        <v>43952</v>
      </c>
      <c r="S1" s="2">
        <v>43983</v>
      </c>
      <c r="T1" s="2">
        <v>44013</v>
      </c>
      <c r="U1" s="2">
        <v>44044</v>
      </c>
      <c r="V1" s="2">
        <v>44075</v>
      </c>
      <c r="W1" s="2">
        <v>44105</v>
      </c>
      <c r="X1" s="2">
        <v>44136</v>
      </c>
      <c r="Y1" s="2">
        <v>44166</v>
      </c>
    </row>
    <row r="2" spans="1:25" x14ac:dyDescent="0.25">
      <c r="A2" s="1" t="s">
        <v>1</v>
      </c>
      <c r="B2">
        <v>660</v>
      </c>
      <c r="C2">
        <v>269</v>
      </c>
      <c r="D2">
        <v>636</v>
      </c>
      <c r="E2">
        <v>894</v>
      </c>
      <c r="F2">
        <v>105</v>
      </c>
      <c r="G2">
        <v>880</v>
      </c>
      <c r="H2">
        <v>626</v>
      </c>
      <c r="I2">
        <v>365</v>
      </c>
      <c r="J2">
        <v>704</v>
      </c>
      <c r="K2">
        <v>904</v>
      </c>
      <c r="L2">
        <v>558</v>
      </c>
      <c r="M2">
        <v>269</v>
      </c>
      <c r="N2">
        <v>647</v>
      </c>
      <c r="O2">
        <v>916</v>
      </c>
      <c r="P2">
        <v>520</v>
      </c>
      <c r="Q2">
        <v>256</v>
      </c>
      <c r="R2">
        <v>391</v>
      </c>
      <c r="S2">
        <v>769</v>
      </c>
      <c r="T2">
        <v>804</v>
      </c>
      <c r="U2">
        <v>826</v>
      </c>
      <c r="V2">
        <v>950</v>
      </c>
      <c r="W2">
        <v>997</v>
      </c>
      <c r="X2">
        <v>633</v>
      </c>
      <c r="Y2">
        <v>925</v>
      </c>
    </row>
    <row r="3" spans="1:25" x14ac:dyDescent="0.25">
      <c r="A3" s="1" t="s">
        <v>2</v>
      </c>
      <c r="B3">
        <v>281</v>
      </c>
      <c r="C3">
        <v>891</v>
      </c>
      <c r="D3">
        <v>643</v>
      </c>
      <c r="E3">
        <v>141</v>
      </c>
      <c r="F3">
        <v>991</v>
      </c>
      <c r="G3">
        <v>827</v>
      </c>
      <c r="H3">
        <v>509</v>
      </c>
      <c r="I3">
        <v>645</v>
      </c>
      <c r="J3">
        <v>265</v>
      </c>
      <c r="K3">
        <v>290</v>
      </c>
      <c r="L3">
        <v>301</v>
      </c>
      <c r="M3">
        <v>195</v>
      </c>
      <c r="N3">
        <v>767</v>
      </c>
      <c r="O3">
        <v>510</v>
      </c>
      <c r="P3">
        <v>967</v>
      </c>
      <c r="Q3">
        <v>496</v>
      </c>
      <c r="R3">
        <v>903</v>
      </c>
      <c r="S3">
        <v>849</v>
      </c>
      <c r="T3">
        <v>475</v>
      </c>
      <c r="U3">
        <v>959</v>
      </c>
      <c r="V3">
        <v>533</v>
      </c>
      <c r="W3">
        <v>600</v>
      </c>
      <c r="X3">
        <v>509</v>
      </c>
      <c r="Y3">
        <v>327</v>
      </c>
    </row>
    <row r="4" spans="1:25" x14ac:dyDescent="0.25">
      <c r="A4" s="1" t="s">
        <v>3</v>
      </c>
      <c r="B4">
        <v>391</v>
      </c>
      <c r="C4">
        <v>576</v>
      </c>
      <c r="D4">
        <v>153</v>
      </c>
      <c r="E4">
        <v>864</v>
      </c>
      <c r="F4">
        <v>109</v>
      </c>
      <c r="G4">
        <v>114</v>
      </c>
      <c r="H4">
        <v>415</v>
      </c>
      <c r="I4">
        <v>297</v>
      </c>
      <c r="J4">
        <v>133</v>
      </c>
      <c r="K4">
        <v>116</v>
      </c>
      <c r="L4">
        <v>760</v>
      </c>
      <c r="M4">
        <v>332</v>
      </c>
      <c r="N4">
        <v>428</v>
      </c>
      <c r="O4">
        <v>987</v>
      </c>
      <c r="P4">
        <v>201</v>
      </c>
      <c r="Q4">
        <v>854</v>
      </c>
      <c r="R4">
        <v>984</v>
      </c>
      <c r="S4">
        <v>815</v>
      </c>
      <c r="T4">
        <v>252</v>
      </c>
      <c r="U4">
        <v>833</v>
      </c>
      <c r="V4">
        <v>766</v>
      </c>
      <c r="W4">
        <v>600</v>
      </c>
      <c r="X4">
        <v>910</v>
      </c>
      <c r="Y4">
        <v>991</v>
      </c>
    </row>
    <row r="5" spans="1:25" x14ac:dyDescent="0.25">
      <c r="A5" s="1" t="s">
        <v>4</v>
      </c>
      <c r="B5">
        <v>630</v>
      </c>
      <c r="C5">
        <v>614</v>
      </c>
      <c r="D5">
        <v>704</v>
      </c>
      <c r="E5">
        <v>487</v>
      </c>
      <c r="F5">
        <v>242</v>
      </c>
      <c r="G5">
        <v>906</v>
      </c>
      <c r="H5">
        <v>355</v>
      </c>
      <c r="I5">
        <v>782</v>
      </c>
      <c r="J5">
        <v>383</v>
      </c>
      <c r="K5">
        <v>705</v>
      </c>
      <c r="L5">
        <v>532</v>
      </c>
      <c r="M5">
        <v>370</v>
      </c>
      <c r="N5">
        <v>197</v>
      </c>
      <c r="O5">
        <v>123</v>
      </c>
      <c r="P5">
        <v>392</v>
      </c>
      <c r="Q5">
        <v>410</v>
      </c>
      <c r="R5">
        <v>658</v>
      </c>
      <c r="S5">
        <v>127</v>
      </c>
      <c r="T5">
        <v>574</v>
      </c>
      <c r="U5">
        <v>549</v>
      </c>
      <c r="V5">
        <v>503</v>
      </c>
      <c r="W5">
        <v>663</v>
      </c>
      <c r="X5">
        <v>233</v>
      </c>
      <c r="Y5">
        <v>673</v>
      </c>
    </row>
    <row r="6" spans="1:25" x14ac:dyDescent="0.25">
      <c r="A6" s="1" t="s">
        <v>5</v>
      </c>
      <c r="B6">
        <v>787</v>
      </c>
      <c r="C6">
        <v>307</v>
      </c>
      <c r="D6">
        <v>428</v>
      </c>
      <c r="E6">
        <v>271</v>
      </c>
      <c r="F6">
        <v>544</v>
      </c>
      <c r="G6">
        <v>387</v>
      </c>
      <c r="H6">
        <v>583</v>
      </c>
      <c r="I6">
        <v>610</v>
      </c>
      <c r="J6">
        <v>256</v>
      </c>
      <c r="K6">
        <v>177</v>
      </c>
      <c r="L6">
        <v>647</v>
      </c>
      <c r="M6">
        <v>747</v>
      </c>
      <c r="N6">
        <v>611</v>
      </c>
      <c r="O6">
        <v>392</v>
      </c>
      <c r="P6">
        <v>302</v>
      </c>
      <c r="Q6">
        <v>193</v>
      </c>
      <c r="R6">
        <v>739</v>
      </c>
      <c r="S6">
        <v>608</v>
      </c>
      <c r="T6">
        <v>975</v>
      </c>
      <c r="U6">
        <v>865</v>
      </c>
      <c r="V6">
        <v>849</v>
      </c>
      <c r="W6">
        <v>436</v>
      </c>
      <c r="X6">
        <v>212</v>
      </c>
      <c r="Y6">
        <v>545</v>
      </c>
    </row>
    <row r="7" spans="1:25" x14ac:dyDescent="0.25">
      <c r="A7" s="1" t="s">
        <v>6</v>
      </c>
      <c r="B7">
        <v>800</v>
      </c>
      <c r="C7">
        <v>884</v>
      </c>
      <c r="D7">
        <v>312</v>
      </c>
      <c r="E7">
        <v>925</v>
      </c>
      <c r="F7">
        <v>369</v>
      </c>
      <c r="G7">
        <v>724</v>
      </c>
      <c r="H7">
        <v>901</v>
      </c>
      <c r="I7">
        <v>770</v>
      </c>
      <c r="J7">
        <v>361</v>
      </c>
      <c r="K7">
        <v>850</v>
      </c>
      <c r="L7">
        <v>788</v>
      </c>
      <c r="M7">
        <v>547</v>
      </c>
      <c r="N7">
        <v>795</v>
      </c>
      <c r="O7">
        <v>626</v>
      </c>
      <c r="P7">
        <v>480</v>
      </c>
      <c r="Q7">
        <v>148</v>
      </c>
      <c r="R7">
        <v>461</v>
      </c>
      <c r="S7">
        <v>628</v>
      </c>
      <c r="T7">
        <v>624</v>
      </c>
      <c r="U7">
        <v>343</v>
      </c>
      <c r="V7">
        <v>618</v>
      </c>
      <c r="W7">
        <v>699</v>
      </c>
      <c r="X7">
        <v>510</v>
      </c>
      <c r="Y7">
        <v>476</v>
      </c>
    </row>
    <row r="8" spans="1:25" x14ac:dyDescent="0.25">
      <c r="A8" s="1" t="s">
        <v>7</v>
      </c>
      <c r="B8">
        <v>223</v>
      </c>
      <c r="C8">
        <v>298</v>
      </c>
      <c r="D8">
        <v>539</v>
      </c>
      <c r="E8">
        <v>233</v>
      </c>
      <c r="F8">
        <v>784</v>
      </c>
      <c r="G8">
        <v>475</v>
      </c>
      <c r="H8">
        <v>455</v>
      </c>
      <c r="I8">
        <v>817</v>
      </c>
      <c r="J8">
        <v>916</v>
      </c>
      <c r="K8">
        <v>198</v>
      </c>
      <c r="L8">
        <v>639</v>
      </c>
      <c r="M8">
        <v>395</v>
      </c>
      <c r="N8">
        <v>439</v>
      </c>
      <c r="O8">
        <v>805</v>
      </c>
      <c r="P8">
        <v>399</v>
      </c>
      <c r="Q8">
        <v>864</v>
      </c>
      <c r="R8">
        <v>544</v>
      </c>
      <c r="S8">
        <v>768</v>
      </c>
      <c r="T8">
        <v>497</v>
      </c>
      <c r="U8">
        <v>373</v>
      </c>
      <c r="V8">
        <v>925</v>
      </c>
      <c r="W8">
        <v>125</v>
      </c>
      <c r="X8">
        <v>795</v>
      </c>
      <c r="Y8">
        <v>660</v>
      </c>
    </row>
    <row r="9" spans="1:25" x14ac:dyDescent="0.25">
      <c r="A9" s="1" t="s">
        <v>8</v>
      </c>
      <c r="B9">
        <v>999</v>
      </c>
      <c r="C9">
        <v>344</v>
      </c>
      <c r="D9">
        <v>675</v>
      </c>
      <c r="E9">
        <v>673</v>
      </c>
      <c r="F9">
        <v>670</v>
      </c>
      <c r="G9">
        <v>420</v>
      </c>
      <c r="H9">
        <v>345</v>
      </c>
      <c r="I9">
        <v>413</v>
      </c>
      <c r="J9">
        <v>456</v>
      </c>
      <c r="K9">
        <v>293</v>
      </c>
      <c r="L9">
        <v>736</v>
      </c>
      <c r="M9">
        <v>637</v>
      </c>
      <c r="N9">
        <v>406</v>
      </c>
      <c r="O9">
        <v>654</v>
      </c>
      <c r="P9">
        <v>258</v>
      </c>
      <c r="Q9">
        <v>670</v>
      </c>
      <c r="R9">
        <v>978</v>
      </c>
      <c r="S9">
        <v>910</v>
      </c>
      <c r="T9">
        <v>631</v>
      </c>
      <c r="U9">
        <v>943</v>
      </c>
      <c r="V9">
        <v>158</v>
      </c>
      <c r="W9">
        <v>852</v>
      </c>
      <c r="X9">
        <v>224</v>
      </c>
      <c r="Y9">
        <v>408</v>
      </c>
    </row>
    <row r="10" spans="1:25" x14ac:dyDescent="0.25">
      <c r="A10" s="1" t="s">
        <v>9</v>
      </c>
      <c r="B10">
        <v>636</v>
      </c>
      <c r="C10">
        <v>816</v>
      </c>
      <c r="D10">
        <v>701</v>
      </c>
      <c r="E10">
        <v>953</v>
      </c>
      <c r="F10">
        <v>705</v>
      </c>
      <c r="G10">
        <v>737</v>
      </c>
      <c r="H10">
        <v>458</v>
      </c>
      <c r="I10">
        <v>344</v>
      </c>
      <c r="J10">
        <v>551</v>
      </c>
      <c r="K10">
        <v>617</v>
      </c>
      <c r="L10">
        <v>653</v>
      </c>
      <c r="M10">
        <v>404</v>
      </c>
      <c r="N10">
        <v>948</v>
      </c>
      <c r="O10">
        <v>442</v>
      </c>
      <c r="P10">
        <v>998</v>
      </c>
      <c r="Q10">
        <v>169</v>
      </c>
      <c r="R10">
        <v>213</v>
      </c>
      <c r="S10">
        <v>302</v>
      </c>
      <c r="T10">
        <v>384</v>
      </c>
      <c r="U10">
        <v>522</v>
      </c>
      <c r="V10">
        <v>448</v>
      </c>
      <c r="W10">
        <v>466</v>
      </c>
      <c r="X10">
        <v>357</v>
      </c>
      <c r="Y10">
        <v>872</v>
      </c>
    </row>
    <row r="11" spans="1:25" x14ac:dyDescent="0.25">
      <c r="A11" s="1" t="s">
        <v>10</v>
      </c>
      <c r="B11">
        <v>271</v>
      </c>
      <c r="C11">
        <v>671</v>
      </c>
      <c r="D11">
        <v>866</v>
      </c>
      <c r="E11">
        <v>254</v>
      </c>
      <c r="F11">
        <v>424</v>
      </c>
      <c r="G11">
        <v>772</v>
      </c>
      <c r="H11">
        <v>900</v>
      </c>
      <c r="I11">
        <v>184</v>
      </c>
      <c r="J11">
        <v>403</v>
      </c>
      <c r="K11">
        <v>249</v>
      </c>
      <c r="L11">
        <v>190</v>
      </c>
      <c r="M11">
        <v>129</v>
      </c>
      <c r="N11">
        <v>240</v>
      </c>
      <c r="O11">
        <v>596</v>
      </c>
      <c r="P11">
        <v>467</v>
      </c>
      <c r="Q11">
        <v>296</v>
      </c>
      <c r="R11">
        <v>316</v>
      </c>
      <c r="S11">
        <v>791</v>
      </c>
      <c r="T11">
        <v>790</v>
      </c>
      <c r="U11">
        <v>869</v>
      </c>
      <c r="V11">
        <v>628</v>
      </c>
      <c r="W11">
        <v>623</v>
      </c>
      <c r="X11">
        <v>446</v>
      </c>
      <c r="Y11">
        <v>608</v>
      </c>
    </row>
    <row r="12" spans="1:25" x14ac:dyDescent="0.25">
      <c r="A12" s="1" t="s">
        <v>11</v>
      </c>
      <c r="B12">
        <v>383</v>
      </c>
      <c r="C12">
        <v>385</v>
      </c>
      <c r="D12">
        <v>282</v>
      </c>
      <c r="E12">
        <v>747</v>
      </c>
      <c r="F12">
        <v>918</v>
      </c>
      <c r="G12">
        <v>576</v>
      </c>
      <c r="H12">
        <v>788</v>
      </c>
      <c r="I12">
        <v>229</v>
      </c>
      <c r="J12">
        <v>705</v>
      </c>
      <c r="K12">
        <v>273</v>
      </c>
      <c r="L12">
        <v>802</v>
      </c>
      <c r="M12">
        <v>873</v>
      </c>
      <c r="N12">
        <v>167</v>
      </c>
      <c r="O12">
        <v>739</v>
      </c>
      <c r="P12">
        <v>338</v>
      </c>
      <c r="Q12">
        <v>459</v>
      </c>
      <c r="R12">
        <v>219</v>
      </c>
      <c r="S12">
        <v>933</v>
      </c>
      <c r="T12">
        <v>503</v>
      </c>
      <c r="U12">
        <v>329</v>
      </c>
      <c r="V12">
        <v>204</v>
      </c>
      <c r="W12">
        <v>669</v>
      </c>
      <c r="X12">
        <v>518</v>
      </c>
      <c r="Y12">
        <v>187</v>
      </c>
    </row>
    <row r="13" spans="1:25" x14ac:dyDescent="0.25">
      <c r="A13" s="1" t="s">
        <v>12</v>
      </c>
      <c r="B13">
        <v>604</v>
      </c>
      <c r="C13">
        <v>827</v>
      </c>
      <c r="D13">
        <v>375</v>
      </c>
      <c r="E13">
        <v>232</v>
      </c>
      <c r="F13">
        <v>364</v>
      </c>
      <c r="G13">
        <v>415</v>
      </c>
      <c r="H13">
        <v>733</v>
      </c>
      <c r="I13">
        <v>805</v>
      </c>
      <c r="J13">
        <v>502</v>
      </c>
      <c r="K13">
        <v>464</v>
      </c>
      <c r="L13">
        <v>898</v>
      </c>
      <c r="M13">
        <v>464</v>
      </c>
      <c r="N13">
        <v>231</v>
      </c>
      <c r="O13">
        <v>985</v>
      </c>
      <c r="P13">
        <v>240</v>
      </c>
      <c r="Q13">
        <v>144</v>
      </c>
      <c r="R13">
        <v>845</v>
      </c>
      <c r="S13">
        <v>540</v>
      </c>
      <c r="T13">
        <v>463</v>
      </c>
      <c r="U13">
        <v>417</v>
      </c>
      <c r="V13">
        <v>341</v>
      </c>
      <c r="W13">
        <v>650</v>
      </c>
      <c r="X13">
        <v>133</v>
      </c>
      <c r="Y13">
        <v>401</v>
      </c>
    </row>
    <row r="14" spans="1:25" x14ac:dyDescent="0.25">
      <c r="A14" s="1" t="s">
        <v>13</v>
      </c>
      <c r="B14">
        <v>761</v>
      </c>
      <c r="C14">
        <v>286</v>
      </c>
      <c r="D14">
        <v>731</v>
      </c>
      <c r="E14">
        <v>597</v>
      </c>
      <c r="F14">
        <v>999</v>
      </c>
      <c r="G14">
        <v>363</v>
      </c>
      <c r="H14">
        <v>992</v>
      </c>
      <c r="I14">
        <v>763</v>
      </c>
      <c r="J14">
        <v>839</v>
      </c>
      <c r="K14">
        <v>790</v>
      </c>
      <c r="L14">
        <v>635</v>
      </c>
      <c r="M14">
        <v>841</v>
      </c>
      <c r="N14">
        <v>312</v>
      </c>
      <c r="O14">
        <v>155</v>
      </c>
      <c r="P14">
        <v>742</v>
      </c>
      <c r="Q14">
        <v>702</v>
      </c>
      <c r="R14">
        <v>251</v>
      </c>
      <c r="S14">
        <v>980</v>
      </c>
      <c r="T14">
        <v>883</v>
      </c>
      <c r="U14">
        <v>307</v>
      </c>
      <c r="V14">
        <v>254</v>
      </c>
      <c r="W14">
        <v>926</v>
      </c>
      <c r="X14">
        <v>255</v>
      </c>
      <c r="Y14">
        <v>295</v>
      </c>
    </row>
    <row r="15" spans="1:25" x14ac:dyDescent="0.25">
      <c r="A15" s="1" t="s">
        <v>14</v>
      </c>
      <c r="B15">
        <v>591</v>
      </c>
      <c r="C15">
        <v>358</v>
      </c>
      <c r="D15">
        <v>141</v>
      </c>
      <c r="E15">
        <v>707</v>
      </c>
      <c r="F15">
        <v>687</v>
      </c>
      <c r="G15">
        <v>614</v>
      </c>
      <c r="H15">
        <v>155</v>
      </c>
      <c r="I15">
        <v>563</v>
      </c>
      <c r="J15">
        <v>144</v>
      </c>
      <c r="K15">
        <v>699</v>
      </c>
      <c r="L15">
        <v>326</v>
      </c>
      <c r="M15">
        <v>479</v>
      </c>
      <c r="N15">
        <v>646</v>
      </c>
      <c r="O15">
        <v>925</v>
      </c>
      <c r="P15">
        <v>537</v>
      </c>
      <c r="Q15">
        <v>765</v>
      </c>
      <c r="R15">
        <v>546</v>
      </c>
      <c r="S15">
        <v>780</v>
      </c>
      <c r="T15">
        <v>528</v>
      </c>
      <c r="U15">
        <v>363</v>
      </c>
      <c r="V15">
        <v>603</v>
      </c>
      <c r="W15">
        <v>720</v>
      </c>
      <c r="X15">
        <v>889</v>
      </c>
      <c r="Y15">
        <v>134</v>
      </c>
    </row>
    <row r="16" spans="1:25" x14ac:dyDescent="0.25">
      <c r="A16" s="1" t="s">
        <v>15</v>
      </c>
      <c r="B16">
        <v>553</v>
      </c>
      <c r="C16">
        <v>527</v>
      </c>
      <c r="D16">
        <v>266</v>
      </c>
      <c r="E16">
        <v>749</v>
      </c>
      <c r="F16">
        <v>764</v>
      </c>
      <c r="G16">
        <v>419</v>
      </c>
      <c r="H16">
        <v>339</v>
      </c>
      <c r="I16">
        <v>108</v>
      </c>
      <c r="J16">
        <v>984</v>
      </c>
      <c r="K16">
        <v>671</v>
      </c>
      <c r="L16">
        <v>146</v>
      </c>
      <c r="M16">
        <v>333</v>
      </c>
      <c r="N16">
        <v>101</v>
      </c>
      <c r="O16">
        <v>712</v>
      </c>
      <c r="P16">
        <v>190</v>
      </c>
      <c r="Q16">
        <v>712</v>
      </c>
      <c r="R16">
        <v>122</v>
      </c>
      <c r="S16">
        <v>899</v>
      </c>
      <c r="T16">
        <v>601</v>
      </c>
      <c r="U16">
        <v>941</v>
      </c>
      <c r="V16">
        <v>937</v>
      </c>
      <c r="W16">
        <v>437</v>
      </c>
      <c r="X16">
        <v>517</v>
      </c>
      <c r="Y16">
        <v>866</v>
      </c>
    </row>
    <row r="17" spans="1:25" x14ac:dyDescent="0.25">
      <c r="A17" s="1" t="s">
        <v>16</v>
      </c>
      <c r="B17">
        <v>664</v>
      </c>
      <c r="C17">
        <v>802</v>
      </c>
      <c r="D17">
        <v>213</v>
      </c>
      <c r="E17">
        <v>298</v>
      </c>
      <c r="F17">
        <v>239</v>
      </c>
      <c r="G17">
        <v>270</v>
      </c>
      <c r="H17">
        <v>246</v>
      </c>
      <c r="I17">
        <v>753</v>
      </c>
      <c r="J17">
        <v>689</v>
      </c>
      <c r="K17">
        <v>926</v>
      </c>
      <c r="L17">
        <v>507</v>
      </c>
      <c r="M17">
        <v>899</v>
      </c>
      <c r="N17">
        <v>948</v>
      </c>
      <c r="O17">
        <v>985</v>
      </c>
      <c r="P17">
        <v>749</v>
      </c>
      <c r="Q17">
        <v>243</v>
      </c>
      <c r="R17">
        <v>790</v>
      </c>
      <c r="S17">
        <v>421</v>
      </c>
      <c r="T17">
        <v>100</v>
      </c>
      <c r="U17">
        <v>301</v>
      </c>
      <c r="V17">
        <v>650</v>
      </c>
      <c r="W17">
        <v>774</v>
      </c>
      <c r="X17">
        <v>813</v>
      </c>
      <c r="Y17">
        <v>413</v>
      </c>
    </row>
    <row r="18" spans="1:25" x14ac:dyDescent="0.25">
      <c r="A18" s="1" t="s">
        <v>17</v>
      </c>
      <c r="B18">
        <v>381</v>
      </c>
      <c r="C18">
        <v>334</v>
      </c>
      <c r="D18">
        <v>607</v>
      </c>
      <c r="E18">
        <v>105</v>
      </c>
      <c r="F18">
        <v>702</v>
      </c>
      <c r="G18">
        <v>186</v>
      </c>
      <c r="H18">
        <v>749</v>
      </c>
      <c r="I18">
        <v>971</v>
      </c>
      <c r="J18">
        <v>516</v>
      </c>
      <c r="K18">
        <v>340</v>
      </c>
      <c r="L18">
        <v>613</v>
      </c>
      <c r="M18">
        <v>671</v>
      </c>
      <c r="N18">
        <v>289</v>
      </c>
      <c r="O18">
        <v>787</v>
      </c>
      <c r="P18">
        <v>435</v>
      </c>
      <c r="Q18">
        <v>955</v>
      </c>
      <c r="R18">
        <v>961</v>
      </c>
      <c r="S18">
        <v>521</v>
      </c>
      <c r="T18">
        <v>654</v>
      </c>
      <c r="U18">
        <v>972</v>
      </c>
      <c r="V18">
        <v>286</v>
      </c>
      <c r="W18">
        <v>687</v>
      </c>
      <c r="X18">
        <v>473</v>
      </c>
      <c r="Y18">
        <v>633</v>
      </c>
    </row>
    <row r="19" spans="1:25" x14ac:dyDescent="0.25">
      <c r="A19" s="1" t="s">
        <v>18</v>
      </c>
      <c r="B19">
        <v>123</v>
      </c>
      <c r="C19">
        <v>884</v>
      </c>
      <c r="D19">
        <v>746</v>
      </c>
      <c r="E19">
        <v>655</v>
      </c>
      <c r="F19">
        <v>717</v>
      </c>
      <c r="G19">
        <v>753</v>
      </c>
      <c r="H19">
        <v>195</v>
      </c>
      <c r="I19">
        <v>675</v>
      </c>
      <c r="J19">
        <v>388</v>
      </c>
      <c r="K19">
        <v>388</v>
      </c>
      <c r="L19">
        <v>698</v>
      </c>
      <c r="M19">
        <v>879</v>
      </c>
      <c r="N19">
        <v>186</v>
      </c>
      <c r="O19">
        <v>265</v>
      </c>
      <c r="P19">
        <v>803</v>
      </c>
      <c r="Q19">
        <v>480</v>
      </c>
      <c r="R19">
        <v>268</v>
      </c>
      <c r="S19">
        <v>775</v>
      </c>
      <c r="T19">
        <v>137</v>
      </c>
      <c r="U19">
        <v>647</v>
      </c>
      <c r="V19">
        <v>756</v>
      </c>
      <c r="W19">
        <v>806</v>
      </c>
      <c r="X19">
        <v>947</v>
      </c>
      <c r="Y19">
        <v>902</v>
      </c>
    </row>
    <row r="20" spans="1:25" x14ac:dyDescent="0.25">
      <c r="A20" s="1" t="s">
        <v>19</v>
      </c>
      <c r="B20">
        <v>165</v>
      </c>
      <c r="C20">
        <v>120</v>
      </c>
      <c r="D20">
        <v>420</v>
      </c>
      <c r="E20">
        <v>387</v>
      </c>
      <c r="F20">
        <v>774</v>
      </c>
      <c r="G20">
        <v>416</v>
      </c>
      <c r="H20">
        <v>529</v>
      </c>
      <c r="I20">
        <v>512</v>
      </c>
      <c r="J20">
        <v>233</v>
      </c>
      <c r="K20">
        <v>260</v>
      </c>
      <c r="L20">
        <v>658</v>
      </c>
      <c r="M20">
        <v>588</v>
      </c>
      <c r="N20">
        <v>767</v>
      </c>
      <c r="O20">
        <v>825</v>
      </c>
      <c r="P20">
        <v>633</v>
      </c>
      <c r="Q20">
        <v>528</v>
      </c>
      <c r="R20">
        <v>231</v>
      </c>
      <c r="S20">
        <v>652</v>
      </c>
      <c r="T20">
        <v>425</v>
      </c>
      <c r="U20">
        <v>259</v>
      </c>
      <c r="V20">
        <v>575</v>
      </c>
      <c r="W20">
        <v>214</v>
      </c>
      <c r="X20">
        <v>455</v>
      </c>
      <c r="Y20">
        <v>896</v>
      </c>
    </row>
    <row r="21" spans="1:25" x14ac:dyDescent="0.25">
      <c r="A21" s="1" t="s">
        <v>20</v>
      </c>
      <c r="B21">
        <v>514</v>
      </c>
      <c r="C21">
        <v>954</v>
      </c>
      <c r="D21">
        <v>510</v>
      </c>
      <c r="E21">
        <v>819</v>
      </c>
      <c r="F21">
        <v>718</v>
      </c>
      <c r="G21">
        <v>313</v>
      </c>
      <c r="H21">
        <v>406</v>
      </c>
      <c r="I21">
        <v>928</v>
      </c>
      <c r="J21">
        <v>131</v>
      </c>
      <c r="K21">
        <v>779</v>
      </c>
      <c r="L21">
        <v>390</v>
      </c>
      <c r="M21">
        <v>819</v>
      </c>
      <c r="N21">
        <v>601</v>
      </c>
      <c r="O21">
        <v>529</v>
      </c>
      <c r="P21">
        <v>100</v>
      </c>
      <c r="Q21">
        <v>350</v>
      </c>
      <c r="R21">
        <v>732</v>
      </c>
      <c r="S21">
        <v>408</v>
      </c>
      <c r="T21">
        <v>369</v>
      </c>
      <c r="U21">
        <v>608</v>
      </c>
      <c r="V21">
        <v>891</v>
      </c>
      <c r="W21">
        <v>269</v>
      </c>
      <c r="X21">
        <v>451</v>
      </c>
      <c r="Y21">
        <v>642</v>
      </c>
    </row>
    <row r="22" spans="1:25" x14ac:dyDescent="0.25">
      <c r="A22" s="1" t="s">
        <v>21</v>
      </c>
      <c r="B22">
        <v>899</v>
      </c>
      <c r="C22">
        <v>798</v>
      </c>
      <c r="D22">
        <v>183</v>
      </c>
      <c r="E22">
        <v>497</v>
      </c>
      <c r="F22">
        <v>438</v>
      </c>
      <c r="G22">
        <v>327</v>
      </c>
      <c r="H22">
        <v>584</v>
      </c>
      <c r="I22">
        <v>512</v>
      </c>
      <c r="J22">
        <v>876</v>
      </c>
      <c r="K22">
        <v>487</v>
      </c>
      <c r="L22">
        <v>396</v>
      </c>
      <c r="M22">
        <v>560</v>
      </c>
      <c r="N22">
        <v>139</v>
      </c>
      <c r="O22">
        <v>861</v>
      </c>
      <c r="P22">
        <v>842</v>
      </c>
      <c r="Q22">
        <v>481</v>
      </c>
      <c r="R22">
        <v>881</v>
      </c>
      <c r="S22">
        <v>203</v>
      </c>
      <c r="T22">
        <v>865</v>
      </c>
      <c r="U22">
        <v>486</v>
      </c>
      <c r="V22">
        <v>684</v>
      </c>
      <c r="W22">
        <v>952</v>
      </c>
      <c r="X22">
        <v>629</v>
      </c>
      <c r="Y22">
        <v>371</v>
      </c>
    </row>
    <row r="23" spans="1:25" x14ac:dyDescent="0.25">
      <c r="A23" s="1" t="s">
        <v>22</v>
      </c>
      <c r="B23">
        <v>291</v>
      </c>
      <c r="C23">
        <v>145</v>
      </c>
      <c r="D23">
        <v>648</v>
      </c>
      <c r="E23">
        <v>160</v>
      </c>
      <c r="F23">
        <v>935</v>
      </c>
      <c r="G23">
        <v>640</v>
      </c>
      <c r="H23">
        <v>607</v>
      </c>
      <c r="I23">
        <v>235</v>
      </c>
      <c r="J23">
        <v>994</v>
      </c>
      <c r="K23">
        <v>333</v>
      </c>
      <c r="L23">
        <v>716</v>
      </c>
      <c r="M23">
        <v>439</v>
      </c>
      <c r="N23">
        <v>300</v>
      </c>
      <c r="O23">
        <v>837</v>
      </c>
      <c r="P23">
        <v>152</v>
      </c>
      <c r="Q23">
        <v>682</v>
      </c>
      <c r="R23">
        <v>754</v>
      </c>
      <c r="S23">
        <v>225</v>
      </c>
      <c r="T23">
        <v>378</v>
      </c>
      <c r="U23">
        <v>189</v>
      </c>
      <c r="V23">
        <v>189</v>
      </c>
      <c r="W23">
        <v>475</v>
      </c>
      <c r="X23">
        <v>636</v>
      </c>
      <c r="Y23">
        <v>962</v>
      </c>
    </row>
    <row r="24" spans="1:25" x14ac:dyDescent="0.25">
      <c r="A24" s="1" t="s">
        <v>23</v>
      </c>
      <c r="B24">
        <v>959</v>
      </c>
      <c r="C24">
        <v>467</v>
      </c>
      <c r="D24">
        <v>585</v>
      </c>
      <c r="E24">
        <v>754</v>
      </c>
      <c r="F24">
        <v>307</v>
      </c>
      <c r="G24">
        <v>523</v>
      </c>
      <c r="H24">
        <v>163</v>
      </c>
      <c r="I24">
        <v>811</v>
      </c>
      <c r="J24">
        <v>859</v>
      </c>
      <c r="K24">
        <v>230</v>
      </c>
      <c r="L24">
        <v>891</v>
      </c>
      <c r="M24">
        <v>104</v>
      </c>
      <c r="N24">
        <v>730</v>
      </c>
      <c r="O24">
        <v>281</v>
      </c>
      <c r="P24">
        <v>543</v>
      </c>
      <c r="Q24">
        <v>831</v>
      </c>
      <c r="R24">
        <v>785</v>
      </c>
      <c r="S24">
        <v>851</v>
      </c>
      <c r="T24">
        <v>501</v>
      </c>
      <c r="U24">
        <v>368</v>
      </c>
      <c r="V24">
        <v>674</v>
      </c>
      <c r="W24">
        <v>249</v>
      </c>
      <c r="X24">
        <v>561</v>
      </c>
      <c r="Y24">
        <v>181</v>
      </c>
    </row>
    <row r="25" spans="1:25" x14ac:dyDescent="0.25">
      <c r="A25" s="1" t="s">
        <v>24</v>
      </c>
      <c r="B25">
        <v>984</v>
      </c>
      <c r="C25">
        <v>736</v>
      </c>
      <c r="D25">
        <v>326</v>
      </c>
      <c r="E25">
        <v>319</v>
      </c>
      <c r="F25">
        <v>278</v>
      </c>
      <c r="G25">
        <v>855</v>
      </c>
      <c r="H25">
        <v>814</v>
      </c>
      <c r="I25">
        <v>987</v>
      </c>
      <c r="J25">
        <v>954</v>
      </c>
      <c r="K25">
        <v>104</v>
      </c>
      <c r="L25">
        <v>481</v>
      </c>
      <c r="M25">
        <v>799</v>
      </c>
      <c r="N25">
        <v>186</v>
      </c>
      <c r="O25">
        <v>856</v>
      </c>
      <c r="P25">
        <v>384</v>
      </c>
      <c r="Q25">
        <v>590</v>
      </c>
      <c r="R25">
        <v>432</v>
      </c>
      <c r="S25">
        <v>452</v>
      </c>
      <c r="T25">
        <v>990</v>
      </c>
      <c r="U25">
        <v>289</v>
      </c>
      <c r="V25">
        <v>910</v>
      </c>
      <c r="W25">
        <v>365</v>
      </c>
      <c r="X25">
        <v>122</v>
      </c>
      <c r="Y25">
        <v>597</v>
      </c>
    </row>
    <row r="26" spans="1:25" x14ac:dyDescent="0.25">
      <c r="A26" s="1" t="s">
        <v>25</v>
      </c>
      <c r="B26">
        <v>150</v>
      </c>
      <c r="C26">
        <v>922</v>
      </c>
      <c r="D26">
        <v>521</v>
      </c>
      <c r="E26">
        <v>366</v>
      </c>
      <c r="F26">
        <v>771</v>
      </c>
      <c r="G26">
        <v>852</v>
      </c>
      <c r="H26">
        <v>736</v>
      </c>
      <c r="I26">
        <v>209</v>
      </c>
      <c r="J26">
        <v>624</v>
      </c>
      <c r="K26">
        <v>310</v>
      </c>
      <c r="L26">
        <v>931</v>
      </c>
      <c r="M26">
        <v>740</v>
      </c>
      <c r="N26">
        <v>937</v>
      </c>
      <c r="O26">
        <v>137</v>
      </c>
      <c r="P26">
        <v>481</v>
      </c>
      <c r="Q26">
        <v>800</v>
      </c>
      <c r="R26">
        <v>673</v>
      </c>
      <c r="S26">
        <v>372</v>
      </c>
      <c r="T26">
        <v>549</v>
      </c>
      <c r="U26">
        <v>198</v>
      </c>
      <c r="V26">
        <v>594</v>
      </c>
      <c r="W26">
        <v>934</v>
      </c>
      <c r="X26">
        <v>141</v>
      </c>
      <c r="Y26">
        <v>411</v>
      </c>
    </row>
    <row r="27" spans="1:25" x14ac:dyDescent="0.25">
      <c r="A27" s="1" t="s">
        <v>26</v>
      </c>
      <c r="B27">
        <v>834</v>
      </c>
      <c r="C27">
        <v>354</v>
      </c>
      <c r="D27">
        <v>817</v>
      </c>
      <c r="E27">
        <v>107</v>
      </c>
      <c r="F27">
        <v>247</v>
      </c>
      <c r="G27">
        <v>592</v>
      </c>
      <c r="H27">
        <v>228</v>
      </c>
      <c r="I27">
        <v>197</v>
      </c>
      <c r="J27">
        <v>260</v>
      </c>
      <c r="K27">
        <v>140</v>
      </c>
      <c r="L27">
        <v>815</v>
      </c>
      <c r="M27">
        <v>917</v>
      </c>
      <c r="N27">
        <v>552</v>
      </c>
      <c r="O27">
        <v>949</v>
      </c>
      <c r="P27">
        <v>458</v>
      </c>
      <c r="Q27">
        <v>853</v>
      </c>
      <c r="R27">
        <v>493</v>
      </c>
      <c r="S27">
        <v>552</v>
      </c>
      <c r="T27">
        <v>535</v>
      </c>
      <c r="U27">
        <v>910</v>
      </c>
      <c r="V27">
        <v>525</v>
      </c>
      <c r="W27">
        <v>797</v>
      </c>
      <c r="X27">
        <v>472</v>
      </c>
      <c r="Y27">
        <v>133</v>
      </c>
    </row>
    <row r="28" spans="1:25" x14ac:dyDescent="0.25">
      <c r="A28" s="1" t="s">
        <v>27</v>
      </c>
      <c r="B28">
        <v>492</v>
      </c>
      <c r="C28">
        <v>586</v>
      </c>
      <c r="D28">
        <v>193</v>
      </c>
      <c r="E28">
        <v>308</v>
      </c>
      <c r="F28">
        <v>680</v>
      </c>
      <c r="G28">
        <v>753</v>
      </c>
      <c r="H28">
        <v>404</v>
      </c>
      <c r="I28">
        <v>934</v>
      </c>
      <c r="J28">
        <v>534</v>
      </c>
      <c r="K28">
        <v>639</v>
      </c>
      <c r="L28">
        <v>816</v>
      </c>
      <c r="M28">
        <v>748</v>
      </c>
      <c r="N28">
        <v>149</v>
      </c>
      <c r="O28">
        <v>714</v>
      </c>
      <c r="P28">
        <v>840</v>
      </c>
      <c r="Q28">
        <v>261</v>
      </c>
      <c r="R28">
        <v>154</v>
      </c>
      <c r="S28">
        <v>387</v>
      </c>
      <c r="T28">
        <v>803</v>
      </c>
      <c r="U28">
        <v>879</v>
      </c>
      <c r="V28">
        <v>496</v>
      </c>
      <c r="W28">
        <v>186</v>
      </c>
      <c r="X28">
        <v>319</v>
      </c>
      <c r="Y28">
        <v>323</v>
      </c>
    </row>
    <row r="29" spans="1:25" x14ac:dyDescent="0.25">
      <c r="A29" s="1" t="s">
        <v>28</v>
      </c>
      <c r="B29">
        <v>422</v>
      </c>
      <c r="C29">
        <v>674</v>
      </c>
      <c r="D29">
        <v>618</v>
      </c>
      <c r="E29">
        <v>485</v>
      </c>
      <c r="F29">
        <v>400</v>
      </c>
      <c r="G29">
        <v>315</v>
      </c>
      <c r="H29">
        <v>727</v>
      </c>
      <c r="I29">
        <v>855</v>
      </c>
      <c r="J29">
        <v>758</v>
      </c>
      <c r="K29">
        <v>179</v>
      </c>
      <c r="L29">
        <v>769</v>
      </c>
      <c r="M29">
        <v>960</v>
      </c>
      <c r="N29">
        <v>995</v>
      </c>
      <c r="O29">
        <v>201</v>
      </c>
      <c r="P29">
        <v>569</v>
      </c>
      <c r="Q29">
        <v>804</v>
      </c>
      <c r="R29">
        <v>513</v>
      </c>
      <c r="S29">
        <v>528</v>
      </c>
      <c r="T29">
        <v>527</v>
      </c>
      <c r="U29">
        <v>903</v>
      </c>
      <c r="V29">
        <v>271</v>
      </c>
      <c r="W29">
        <v>298</v>
      </c>
      <c r="X29">
        <v>953</v>
      </c>
      <c r="Y29">
        <v>278</v>
      </c>
    </row>
    <row r="30" spans="1:25" x14ac:dyDescent="0.25">
      <c r="A30" s="1" t="s">
        <v>29</v>
      </c>
      <c r="B30">
        <v>223</v>
      </c>
      <c r="C30">
        <v>958</v>
      </c>
      <c r="D30">
        <v>990</v>
      </c>
      <c r="E30">
        <v>501</v>
      </c>
      <c r="F30">
        <v>895</v>
      </c>
      <c r="G30">
        <v>245</v>
      </c>
      <c r="H30">
        <v>355</v>
      </c>
      <c r="I30">
        <v>252</v>
      </c>
      <c r="J30">
        <v>419</v>
      </c>
      <c r="K30">
        <v>485</v>
      </c>
      <c r="L30">
        <v>161</v>
      </c>
      <c r="M30">
        <v>306</v>
      </c>
      <c r="N30">
        <v>352</v>
      </c>
      <c r="O30">
        <v>693</v>
      </c>
      <c r="P30">
        <v>970</v>
      </c>
      <c r="Q30">
        <v>970</v>
      </c>
      <c r="R30">
        <v>431</v>
      </c>
      <c r="S30">
        <v>769</v>
      </c>
      <c r="T30">
        <v>766</v>
      </c>
      <c r="U30">
        <v>487</v>
      </c>
      <c r="V30">
        <v>271</v>
      </c>
      <c r="W30">
        <v>841</v>
      </c>
      <c r="X30">
        <v>184</v>
      </c>
      <c r="Y30">
        <v>159</v>
      </c>
    </row>
    <row r="31" spans="1:25" x14ac:dyDescent="0.25">
      <c r="A31" s="1" t="s">
        <v>30</v>
      </c>
      <c r="B31">
        <v>471</v>
      </c>
      <c r="C31">
        <v>562</v>
      </c>
      <c r="D31">
        <v>696</v>
      </c>
      <c r="E31">
        <v>346</v>
      </c>
      <c r="F31">
        <v>149</v>
      </c>
      <c r="G31">
        <v>224</v>
      </c>
      <c r="H31">
        <v>386</v>
      </c>
      <c r="I31">
        <v>352</v>
      </c>
      <c r="J31">
        <v>539</v>
      </c>
      <c r="K31">
        <v>505</v>
      </c>
      <c r="L31">
        <v>213</v>
      </c>
      <c r="M31">
        <v>760</v>
      </c>
      <c r="N31">
        <v>194</v>
      </c>
      <c r="O31">
        <v>783</v>
      </c>
      <c r="P31">
        <v>580</v>
      </c>
      <c r="Q31">
        <v>102</v>
      </c>
      <c r="R31">
        <v>661</v>
      </c>
      <c r="S31">
        <v>679</v>
      </c>
      <c r="T31">
        <v>362</v>
      </c>
      <c r="U31">
        <v>224</v>
      </c>
      <c r="V31">
        <v>626</v>
      </c>
      <c r="W31">
        <v>855</v>
      </c>
      <c r="X31">
        <v>587</v>
      </c>
      <c r="Y31">
        <v>278</v>
      </c>
    </row>
    <row r="32" spans="1:25" x14ac:dyDescent="0.25">
      <c r="A32" s="1" t="s">
        <v>31</v>
      </c>
      <c r="B32">
        <v>987</v>
      </c>
      <c r="C32">
        <v>960</v>
      </c>
      <c r="D32">
        <v>939</v>
      </c>
      <c r="E32">
        <v>212</v>
      </c>
      <c r="F32">
        <v>888</v>
      </c>
      <c r="G32">
        <v>319</v>
      </c>
      <c r="H32">
        <v>636</v>
      </c>
      <c r="I32">
        <v>538</v>
      </c>
      <c r="J32">
        <v>555</v>
      </c>
      <c r="K32">
        <v>548</v>
      </c>
      <c r="L32">
        <v>141</v>
      </c>
      <c r="M32">
        <v>963</v>
      </c>
      <c r="N32">
        <v>417</v>
      </c>
      <c r="O32">
        <v>351</v>
      </c>
      <c r="P32">
        <v>154</v>
      </c>
      <c r="Q32">
        <v>943</v>
      </c>
      <c r="R32">
        <v>866</v>
      </c>
      <c r="S32">
        <v>229</v>
      </c>
      <c r="T32">
        <v>517</v>
      </c>
      <c r="U32">
        <v>642</v>
      </c>
      <c r="V32">
        <v>774</v>
      </c>
      <c r="W32">
        <v>158</v>
      </c>
      <c r="X32">
        <v>982</v>
      </c>
      <c r="Y32">
        <v>769</v>
      </c>
    </row>
    <row r="33" spans="1:25" x14ac:dyDescent="0.25">
      <c r="A33" s="1" t="s">
        <v>32</v>
      </c>
      <c r="B33">
        <v>836</v>
      </c>
      <c r="C33">
        <v>260</v>
      </c>
      <c r="D33">
        <v>594</v>
      </c>
      <c r="E33">
        <v>399</v>
      </c>
      <c r="F33">
        <v>923</v>
      </c>
      <c r="G33">
        <v>162</v>
      </c>
      <c r="H33">
        <v>328</v>
      </c>
      <c r="I33">
        <v>585</v>
      </c>
      <c r="J33">
        <v>285</v>
      </c>
      <c r="K33">
        <v>291</v>
      </c>
      <c r="L33">
        <v>575</v>
      </c>
      <c r="M33">
        <v>315</v>
      </c>
      <c r="N33">
        <v>500</v>
      </c>
      <c r="O33">
        <v>858</v>
      </c>
      <c r="P33">
        <v>281</v>
      </c>
      <c r="Q33">
        <v>850</v>
      </c>
      <c r="R33">
        <v>207</v>
      </c>
      <c r="S33">
        <v>470</v>
      </c>
      <c r="T33">
        <v>126</v>
      </c>
      <c r="U33">
        <v>531</v>
      </c>
      <c r="V33">
        <v>972</v>
      </c>
      <c r="W33">
        <v>975</v>
      </c>
      <c r="X33">
        <v>694</v>
      </c>
      <c r="Y33">
        <v>553</v>
      </c>
    </row>
    <row r="34" spans="1:25" x14ac:dyDescent="0.25">
      <c r="A34" s="1" t="s">
        <v>33</v>
      </c>
      <c r="B34">
        <v>326</v>
      </c>
      <c r="C34">
        <v>418</v>
      </c>
      <c r="D34">
        <v>811</v>
      </c>
      <c r="E34">
        <v>308</v>
      </c>
      <c r="F34">
        <v>440</v>
      </c>
      <c r="G34">
        <v>621</v>
      </c>
      <c r="H34">
        <v>629</v>
      </c>
      <c r="I34">
        <v>308</v>
      </c>
      <c r="J34">
        <v>307</v>
      </c>
      <c r="K34">
        <v>501</v>
      </c>
      <c r="L34">
        <v>485</v>
      </c>
      <c r="M34">
        <v>972</v>
      </c>
      <c r="N34">
        <v>526</v>
      </c>
      <c r="O34">
        <v>318</v>
      </c>
      <c r="P34">
        <v>742</v>
      </c>
      <c r="Q34">
        <v>640</v>
      </c>
      <c r="R34">
        <v>931</v>
      </c>
      <c r="S34">
        <v>743</v>
      </c>
      <c r="T34">
        <v>903</v>
      </c>
      <c r="U34">
        <v>342</v>
      </c>
      <c r="V34">
        <v>299</v>
      </c>
      <c r="W34">
        <v>669</v>
      </c>
      <c r="X34">
        <v>854</v>
      </c>
      <c r="Y34">
        <v>504</v>
      </c>
    </row>
    <row r="35" spans="1:25" x14ac:dyDescent="0.25">
      <c r="A35" s="1" t="s">
        <v>34</v>
      </c>
      <c r="B35">
        <v>555</v>
      </c>
      <c r="C35">
        <v>659</v>
      </c>
      <c r="D35">
        <v>254</v>
      </c>
      <c r="E35">
        <v>390</v>
      </c>
      <c r="F35">
        <v>631</v>
      </c>
      <c r="G35">
        <v>370</v>
      </c>
      <c r="H35">
        <v>245</v>
      </c>
      <c r="I35">
        <v>414</v>
      </c>
      <c r="J35">
        <v>421</v>
      </c>
      <c r="K35">
        <v>404</v>
      </c>
      <c r="L35">
        <v>108</v>
      </c>
      <c r="M35">
        <v>179</v>
      </c>
      <c r="N35">
        <v>781</v>
      </c>
      <c r="O35">
        <v>495</v>
      </c>
      <c r="P35">
        <v>155</v>
      </c>
      <c r="Q35">
        <v>650</v>
      </c>
      <c r="R35">
        <v>842</v>
      </c>
      <c r="S35">
        <v>108</v>
      </c>
      <c r="T35">
        <v>511</v>
      </c>
      <c r="U35">
        <v>107</v>
      </c>
      <c r="V35">
        <v>724</v>
      </c>
      <c r="W35">
        <v>521</v>
      </c>
      <c r="X35">
        <v>325</v>
      </c>
      <c r="Y35">
        <v>478</v>
      </c>
    </row>
    <row r="36" spans="1:25" x14ac:dyDescent="0.25">
      <c r="A36" s="1" t="s">
        <v>35</v>
      </c>
      <c r="B36">
        <v>834</v>
      </c>
      <c r="C36">
        <v>540</v>
      </c>
      <c r="D36">
        <v>625</v>
      </c>
      <c r="E36">
        <v>874</v>
      </c>
      <c r="F36">
        <v>375</v>
      </c>
      <c r="G36">
        <v>214</v>
      </c>
      <c r="H36">
        <v>116</v>
      </c>
      <c r="I36">
        <v>834</v>
      </c>
      <c r="J36">
        <v>802</v>
      </c>
      <c r="K36">
        <v>464</v>
      </c>
      <c r="L36">
        <v>421</v>
      </c>
      <c r="M36">
        <v>710</v>
      </c>
      <c r="N36">
        <v>868</v>
      </c>
      <c r="O36">
        <v>852</v>
      </c>
      <c r="P36">
        <v>277</v>
      </c>
      <c r="Q36">
        <v>704</v>
      </c>
      <c r="R36">
        <v>763</v>
      </c>
      <c r="S36">
        <v>552</v>
      </c>
      <c r="T36">
        <v>917</v>
      </c>
      <c r="U36">
        <v>681</v>
      </c>
      <c r="V36">
        <v>688</v>
      </c>
      <c r="W36">
        <v>632</v>
      </c>
      <c r="X36">
        <v>113</v>
      </c>
      <c r="Y36">
        <v>781</v>
      </c>
    </row>
    <row r="37" spans="1:25" x14ac:dyDescent="0.25">
      <c r="A37" s="1" t="s">
        <v>36</v>
      </c>
      <c r="B37">
        <v>729</v>
      </c>
      <c r="C37">
        <v>216</v>
      </c>
      <c r="D37">
        <v>864</v>
      </c>
      <c r="E37">
        <v>436</v>
      </c>
      <c r="F37">
        <v>976</v>
      </c>
      <c r="G37">
        <v>375</v>
      </c>
      <c r="H37">
        <v>495</v>
      </c>
      <c r="I37">
        <v>526</v>
      </c>
      <c r="J37">
        <v>934</v>
      </c>
      <c r="K37">
        <v>708</v>
      </c>
      <c r="L37">
        <v>471</v>
      </c>
      <c r="M37">
        <v>355</v>
      </c>
      <c r="N37">
        <v>514</v>
      </c>
      <c r="O37">
        <v>993</v>
      </c>
      <c r="P37">
        <v>697</v>
      </c>
      <c r="Q37">
        <v>849</v>
      </c>
      <c r="R37">
        <v>212</v>
      </c>
      <c r="S37">
        <v>833</v>
      </c>
      <c r="T37">
        <v>795</v>
      </c>
      <c r="U37">
        <v>277</v>
      </c>
      <c r="V37">
        <v>266</v>
      </c>
      <c r="W37">
        <v>535</v>
      </c>
      <c r="X37">
        <v>862</v>
      </c>
      <c r="Y37">
        <v>829</v>
      </c>
    </row>
    <row r="38" spans="1:25" x14ac:dyDescent="0.25">
      <c r="A38" s="1" t="s">
        <v>37</v>
      </c>
      <c r="B38">
        <v>863</v>
      </c>
      <c r="C38">
        <v>535</v>
      </c>
      <c r="D38">
        <v>645</v>
      </c>
      <c r="E38">
        <v>489</v>
      </c>
      <c r="F38">
        <v>243</v>
      </c>
      <c r="G38">
        <v>759</v>
      </c>
      <c r="H38">
        <v>368</v>
      </c>
      <c r="I38">
        <v>863</v>
      </c>
      <c r="J38">
        <v>108</v>
      </c>
      <c r="K38">
        <v>500</v>
      </c>
      <c r="L38">
        <v>136</v>
      </c>
      <c r="M38">
        <v>645</v>
      </c>
      <c r="N38">
        <v>487</v>
      </c>
      <c r="O38">
        <v>963</v>
      </c>
      <c r="P38">
        <v>676</v>
      </c>
      <c r="Q38">
        <v>469</v>
      </c>
      <c r="R38">
        <v>564</v>
      </c>
      <c r="S38">
        <v>803</v>
      </c>
      <c r="T38">
        <v>224</v>
      </c>
      <c r="U38">
        <v>835</v>
      </c>
      <c r="V38">
        <v>310</v>
      </c>
      <c r="W38">
        <v>932</v>
      </c>
      <c r="X38">
        <v>598</v>
      </c>
      <c r="Y38">
        <v>779</v>
      </c>
    </row>
    <row r="39" spans="1:25" x14ac:dyDescent="0.25">
      <c r="A39" s="1" t="s">
        <v>38</v>
      </c>
      <c r="B39">
        <v>800</v>
      </c>
      <c r="C39">
        <v>574</v>
      </c>
      <c r="D39">
        <v>352</v>
      </c>
      <c r="E39">
        <v>426</v>
      </c>
      <c r="F39">
        <v>682</v>
      </c>
      <c r="G39">
        <v>848</v>
      </c>
      <c r="H39">
        <v>725</v>
      </c>
      <c r="I39">
        <v>328</v>
      </c>
      <c r="J39">
        <v>488</v>
      </c>
      <c r="K39">
        <v>240</v>
      </c>
      <c r="L39">
        <v>886</v>
      </c>
      <c r="M39">
        <v>723</v>
      </c>
      <c r="N39">
        <v>851</v>
      </c>
      <c r="O39">
        <v>356</v>
      </c>
      <c r="P39">
        <v>722</v>
      </c>
      <c r="Q39">
        <v>288</v>
      </c>
      <c r="R39">
        <v>452</v>
      </c>
      <c r="S39">
        <v>339</v>
      </c>
      <c r="T39">
        <v>866</v>
      </c>
      <c r="U39">
        <v>281</v>
      </c>
      <c r="V39">
        <v>518</v>
      </c>
      <c r="W39">
        <v>675</v>
      </c>
      <c r="X39">
        <v>753</v>
      </c>
      <c r="Y39">
        <v>524</v>
      </c>
    </row>
    <row r="40" spans="1:25" x14ac:dyDescent="0.25">
      <c r="A40" s="1" t="s">
        <v>39</v>
      </c>
      <c r="B40">
        <v>884</v>
      </c>
      <c r="C40">
        <v>227</v>
      </c>
      <c r="D40">
        <v>337</v>
      </c>
      <c r="E40">
        <v>843</v>
      </c>
      <c r="F40">
        <v>211</v>
      </c>
      <c r="G40">
        <v>994</v>
      </c>
      <c r="H40">
        <v>679</v>
      </c>
      <c r="I40">
        <v>245</v>
      </c>
      <c r="J40">
        <v>136</v>
      </c>
      <c r="K40">
        <v>491</v>
      </c>
      <c r="L40">
        <v>149</v>
      </c>
      <c r="M40">
        <v>698</v>
      </c>
      <c r="N40">
        <v>112</v>
      </c>
      <c r="O40">
        <v>739</v>
      </c>
      <c r="P40">
        <v>823</v>
      </c>
      <c r="Q40">
        <v>220</v>
      </c>
      <c r="R40">
        <v>405</v>
      </c>
      <c r="S40">
        <v>209</v>
      </c>
      <c r="T40">
        <v>763</v>
      </c>
      <c r="U40">
        <v>669</v>
      </c>
      <c r="V40">
        <v>562</v>
      </c>
      <c r="W40">
        <v>762</v>
      </c>
      <c r="X40">
        <v>399</v>
      </c>
      <c r="Y40">
        <v>109</v>
      </c>
    </row>
    <row r="41" spans="1:25" x14ac:dyDescent="0.25">
      <c r="A41" s="1" t="s">
        <v>40</v>
      </c>
      <c r="B41">
        <v>135</v>
      </c>
      <c r="C41">
        <v>725</v>
      </c>
      <c r="D41">
        <v>698</v>
      </c>
      <c r="E41">
        <v>277</v>
      </c>
      <c r="F41">
        <v>955</v>
      </c>
      <c r="G41">
        <v>714</v>
      </c>
      <c r="H41">
        <v>799</v>
      </c>
      <c r="I41">
        <v>500</v>
      </c>
      <c r="J41">
        <v>963</v>
      </c>
      <c r="K41">
        <v>931</v>
      </c>
      <c r="L41">
        <v>976</v>
      </c>
      <c r="M41">
        <v>541</v>
      </c>
      <c r="N41">
        <v>238</v>
      </c>
      <c r="O41">
        <v>446</v>
      </c>
      <c r="P41">
        <v>140</v>
      </c>
      <c r="Q41">
        <v>697</v>
      </c>
      <c r="R41">
        <v>313</v>
      </c>
      <c r="S41">
        <v>926</v>
      </c>
      <c r="T41">
        <v>347</v>
      </c>
      <c r="U41">
        <v>490</v>
      </c>
      <c r="V41">
        <v>902</v>
      </c>
      <c r="W41">
        <v>931</v>
      </c>
      <c r="X41">
        <v>145</v>
      </c>
      <c r="Y41">
        <v>441</v>
      </c>
    </row>
    <row r="42" spans="1:25" x14ac:dyDescent="0.25">
      <c r="A42" s="1" t="s">
        <v>41</v>
      </c>
      <c r="B42">
        <v>452</v>
      </c>
      <c r="C42">
        <v>833</v>
      </c>
      <c r="D42">
        <v>222</v>
      </c>
      <c r="E42">
        <v>797</v>
      </c>
      <c r="F42">
        <v>121</v>
      </c>
      <c r="G42">
        <v>932</v>
      </c>
      <c r="H42">
        <v>169</v>
      </c>
      <c r="I42">
        <v>735</v>
      </c>
      <c r="J42">
        <v>793</v>
      </c>
      <c r="K42">
        <v>378</v>
      </c>
      <c r="L42">
        <v>246</v>
      </c>
      <c r="M42">
        <v>245</v>
      </c>
      <c r="N42">
        <v>492</v>
      </c>
      <c r="O42">
        <v>560</v>
      </c>
      <c r="P42">
        <v>337</v>
      </c>
      <c r="Q42">
        <v>527</v>
      </c>
      <c r="R42">
        <v>650</v>
      </c>
      <c r="S42">
        <v>796</v>
      </c>
      <c r="T42">
        <v>128</v>
      </c>
      <c r="U42">
        <v>103</v>
      </c>
      <c r="V42">
        <v>282</v>
      </c>
      <c r="W42">
        <v>564</v>
      </c>
      <c r="X42">
        <v>997</v>
      </c>
      <c r="Y42">
        <v>748</v>
      </c>
    </row>
    <row r="43" spans="1:25" x14ac:dyDescent="0.25">
      <c r="A43" s="1" t="s">
        <v>42</v>
      </c>
      <c r="B43">
        <v>505</v>
      </c>
      <c r="C43">
        <v>973</v>
      </c>
      <c r="D43">
        <v>869</v>
      </c>
      <c r="E43">
        <v>243</v>
      </c>
      <c r="F43">
        <v>302</v>
      </c>
      <c r="G43">
        <v>929</v>
      </c>
      <c r="H43">
        <v>664</v>
      </c>
      <c r="I43">
        <v>649</v>
      </c>
      <c r="J43">
        <v>981</v>
      </c>
      <c r="K43">
        <v>914</v>
      </c>
      <c r="L43">
        <v>436</v>
      </c>
      <c r="M43">
        <v>376</v>
      </c>
      <c r="N43">
        <v>989</v>
      </c>
      <c r="O43">
        <v>742</v>
      </c>
      <c r="P43">
        <v>106</v>
      </c>
      <c r="Q43">
        <v>643</v>
      </c>
      <c r="R43">
        <v>909</v>
      </c>
      <c r="S43">
        <v>939</v>
      </c>
      <c r="T43">
        <v>569</v>
      </c>
      <c r="U43">
        <v>587</v>
      </c>
      <c r="V43">
        <v>760</v>
      </c>
      <c r="W43">
        <v>281</v>
      </c>
      <c r="X43">
        <v>530</v>
      </c>
      <c r="Y43">
        <v>597</v>
      </c>
    </row>
    <row r="44" spans="1:25" x14ac:dyDescent="0.25">
      <c r="A44" s="1" t="s">
        <v>43</v>
      </c>
      <c r="B44">
        <v>973</v>
      </c>
      <c r="C44">
        <v>309</v>
      </c>
      <c r="D44">
        <v>937</v>
      </c>
      <c r="E44">
        <v>441</v>
      </c>
      <c r="F44">
        <v>209</v>
      </c>
      <c r="G44">
        <v>336</v>
      </c>
      <c r="H44">
        <v>888</v>
      </c>
      <c r="I44">
        <v>893</v>
      </c>
      <c r="J44">
        <v>122</v>
      </c>
      <c r="K44">
        <v>688</v>
      </c>
      <c r="L44">
        <v>465</v>
      </c>
      <c r="M44">
        <v>505</v>
      </c>
      <c r="N44">
        <v>139</v>
      </c>
      <c r="O44">
        <v>772</v>
      </c>
      <c r="P44">
        <v>878</v>
      </c>
      <c r="Q44">
        <v>947</v>
      </c>
      <c r="R44">
        <v>844</v>
      </c>
      <c r="S44">
        <v>625</v>
      </c>
      <c r="T44">
        <v>517</v>
      </c>
      <c r="U44">
        <v>957</v>
      </c>
      <c r="V44">
        <v>911</v>
      </c>
      <c r="W44">
        <v>924</v>
      </c>
      <c r="X44">
        <v>210</v>
      </c>
      <c r="Y44">
        <v>933</v>
      </c>
    </row>
    <row r="45" spans="1:25" x14ac:dyDescent="0.25">
      <c r="A45" s="1" t="s">
        <v>44</v>
      </c>
      <c r="B45">
        <v>959</v>
      </c>
      <c r="C45">
        <v>327</v>
      </c>
      <c r="D45">
        <v>712</v>
      </c>
      <c r="E45">
        <v>508</v>
      </c>
      <c r="F45">
        <v>337</v>
      </c>
      <c r="G45">
        <v>816</v>
      </c>
      <c r="H45">
        <v>767</v>
      </c>
      <c r="I45">
        <v>836</v>
      </c>
      <c r="J45">
        <v>649</v>
      </c>
      <c r="K45">
        <v>502</v>
      </c>
      <c r="L45">
        <v>554</v>
      </c>
      <c r="M45">
        <v>654</v>
      </c>
      <c r="N45">
        <v>444</v>
      </c>
      <c r="O45">
        <v>286</v>
      </c>
      <c r="P45">
        <v>544</v>
      </c>
      <c r="Q45">
        <v>667</v>
      </c>
      <c r="R45">
        <v>363</v>
      </c>
      <c r="S45">
        <v>447</v>
      </c>
      <c r="T45">
        <v>301</v>
      </c>
      <c r="U45">
        <v>930</v>
      </c>
      <c r="V45">
        <v>975</v>
      </c>
      <c r="W45">
        <v>209</v>
      </c>
      <c r="X45">
        <v>257</v>
      </c>
      <c r="Y45">
        <v>805</v>
      </c>
    </row>
    <row r="46" spans="1:25" x14ac:dyDescent="0.25">
      <c r="A46" s="1" t="s">
        <v>45</v>
      </c>
      <c r="B46">
        <v>657</v>
      </c>
      <c r="C46">
        <v>264</v>
      </c>
      <c r="D46">
        <v>840</v>
      </c>
      <c r="E46">
        <v>165</v>
      </c>
      <c r="F46">
        <v>220</v>
      </c>
      <c r="G46">
        <v>599</v>
      </c>
      <c r="H46">
        <v>525</v>
      </c>
      <c r="I46">
        <v>985</v>
      </c>
      <c r="J46">
        <v>818</v>
      </c>
      <c r="K46">
        <v>309</v>
      </c>
      <c r="L46">
        <v>544</v>
      </c>
      <c r="M46">
        <v>288</v>
      </c>
      <c r="N46">
        <v>244</v>
      </c>
      <c r="O46">
        <v>919</v>
      </c>
      <c r="P46">
        <v>736</v>
      </c>
      <c r="Q46">
        <v>896</v>
      </c>
      <c r="R46">
        <v>678</v>
      </c>
      <c r="S46">
        <v>527</v>
      </c>
      <c r="T46">
        <v>210</v>
      </c>
      <c r="U46">
        <v>768</v>
      </c>
      <c r="V46">
        <v>141</v>
      </c>
      <c r="W46">
        <v>860</v>
      </c>
      <c r="X46">
        <v>432</v>
      </c>
      <c r="Y46">
        <v>634</v>
      </c>
    </row>
    <row r="47" spans="1:25" x14ac:dyDescent="0.25">
      <c r="A47" s="1" t="s">
        <v>46</v>
      </c>
      <c r="B47">
        <v>504</v>
      </c>
      <c r="C47">
        <v>470</v>
      </c>
      <c r="D47">
        <v>754</v>
      </c>
      <c r="E47">
        <v>439</v>
      </c>
      <c r="F47">
        <v>318</v>
      </c>
      <c r="G47">
        <v>829</v>
      </c>
      <c r="H47">
        <v>232</v>
      </c>
      <c r="I47">
        <v>281</v>
      </c>
      <c r="J47">
        <v>222</v>
      </c>
      <c r="K47">
        <v>934</v>
      </c>
      <c r="L47">
        <v>466</v>
      </c>
      <c r="M47">
        <v>623</v>
      </c>
      <c r="N47">
        <v>963</v>
      </c>
      <c r="O47">
        <v>333</v>
      </c>
      <c r="P47">
        <v>172</v>
      </c>
      <c r="Q47">
        <v>607</v>
      </c>
      <c r="R47">
        <v>964</v>
      </c>
      <c r="S47">
        <v>435</v>
      </c>
      <c r="T47">
        <v>813</v>
      </c>
      <c r="U47">
        <v>768</v>
      </c>
      <c r="V47">
        <v>911</v>
      </c>
      <c r="W47">
        <v>850</v>
      </c>
      <c r="X47">
        <v>163</v>
      </c>
      <c r="Y47">
        <v>464</v>
      </c>
    </row>
    <row r="48" spans="1:25" x14ac:dyDescent="0.25">
      <c r="A48" s="1" t="s">
        <v>47</v>
      </c>
      <c r="B48">
        <v>339</v>
      </c>
      <c r="C48">
        <v>349</v>
      </c>
      <c r="D48">
        <v>599</v>
      </c>
      <c r="E48">
        <v>511</v>
      </c>
      <c r="F48">
        <v>870</v>
      </c>
      <c r="G48">
        <v>704</v>
      </c>
      <c r="H48">
        <v>106</v>
      </c>
      <c r="I48">
        <v>468</v>
      </c>
      <c r="J48">
        <v>930</v>
      </c>
      <c r="K48">
        <v>159</v>
      </c>
      <c r="L48">
        <v>642</v>
      </c>
      <c r="M48">
        <v>611</v>
      </c>
      <c r="N48">
        <v>635</v>
      </c>
      <c r="O48">
        <v>886</v>
      </c>
      <c r="P48">
        <v>796</v>
      </c>
      <c r="Q48">
        <v>701</v>
      </c>
      <c r="R48">
        <v>180</v>
      </c>
      <c r="S48">
        <v>861</v>
      </c>
      <c r="T48">
        <v>220</v>
      </c>
      <c r="U48">
        <v>720</v>
      </c>
      <c r="V48">
        <v>429</v>
      </c>
      <c r="W48">
        <v>952</v>
      </c>
      <c r="X48">
        <v>369</v>
      </c>
      <c r="Y48">
        <v>777</v>
      </c>
    </row>
    <row r="49" spans="1:25" x14ac:dyDescent="0.25">
      <c r="A49" s="1" t="s">
        <v>48</v>
      </c>
      <c r="B49">
        <v>886</v>
      </c>
      <c r="C49">
        <v>330</v>
      </c>
      <c r="D49">
        <v>864</v>
      </c>
      <c r="E49">
        <v>841</v>
      </c>
      <c r="F49">
        <v>440</v>
      </c>
      <c r="G49">
        <v>987</v>
      </c>
      <c r="H49">
        <v>144</v>
      </c>
      <c r="I49">
        <v>899</v>
      </c>
      <c r="J49">
        <v>316</v>
      </c>
      <c r="K49">
        <v>917</v>
      </c>
      <c r="L49">
        <v>271</v>
      </c>
      <c r="M49">
        <v>894</v>
      </c>
      <c r="N49">
        <v>414</v>
      </c>
      <c r="O49">
        <v>833</v>
      </c>
      <c r="P49">
        <v>414</v>
      </c>
      <c r="Q49">
        <v>301</v>
      </c>
      <c r="R49">
        <v>789</v>
      </c>
      <c r="S49">
        <v>506</v>
      </c>
      <c r="T49">
        <v>620</v>
      </c>
      <c r="U49">
        <v>354</v>
      </c>
      <c r="V49">
        <v>353</v>
      </c>
      <c r="W49">
        <v>482</v>
      </c>
      <c r="X49">
        <v>532</v>
      </c>
      <c r="Y49">
        <v>105</v>
      </c>
    </row>
    <row r="50" spans="1:25" x14ac:dyDescent="0.25">
      <c r="A50" s="1" t="s">
        <v>49</v>
      </c>
      <c r="B50">
        <v>193</v>
      </c>
      <c r="C50">
        <v>784</v>
      </c>
      <c r="D50">
        <v>376</v>
      </c>
      <c r="E50">
        <v>676</v>
      </c>
      <c r="F50">
        <v>465</v>
      </c>
      <c r="G50">
        <v>178</v>
      </c>
      <c r="H50">
        <v>334</v>
      </c>
      <c r="I50">
        <v>659</v>
      </c>
      <c r="J50">
        <v>927</v>
      </c>
      <c r="K50">
        <v>904</v>
      </c>
      <c r="L50">
        <v>777</v>
      </c>
      <c r="M50">
        <v>966</v>
      </c>
      <c r="N50">
        <v>727</v>
      </c>
      <c r="O50">
        <v>756</v>
      </c>
      <c r="P50">
        <v>886</v>
      </c>
      <c r="Q50">
        <v>886</v>
      </c>
      <c r="R50">
        <v>340</v>
      </c>
      <c r="S50">
        <v>813</v>
      </c>
      <c r="T50">
        <v>838</v>
      </c>
      <c r="U50">
        <v>307</v>
      </c>
      <c r="V50">
        <v>824</v>
      </c>
      <c r="W50">
        <v>834</v>
      </c>
      <c r="X50">
        <v>801</v>
      </c>
      <c r="Y50">
        <v>198</v>
      </c>
    </row>
    <row r="51" spans="1:25" x14ac:dyDescent="0.25">
      <c r="A51" s="1" t="s">
        <v>50</v>
      </c>
      <c r="B51">
        <v>258</v>
      </c>
      <c r="C51">
        <v>186</v>
      </c>
      <c r="D51">
        <v>343</v>
      </c>
      <c r="E51">
        <v>800</v>
      </c>
      <c r="F51">
        <v>748</v>
      </c>
      <c r="G51">
        <v>601</v>
      </c>
      <c r="H51">
        <v>953</v>
      </c>
      <c r="I51">
        <v>305</v>
      </c>
      <c r="J51">
        <v>712</v>
      </c>
      <c r="K51">
        <v>570</v>
      </c>
      <c r="L51">
        <v>942</v>
      </c>
      <c r="M51">
        <v>837</v>
      </c>
      <c r="N51">
        <v>245</v>
      </c>
      <c r="O51">
        <v>973</v>
      </c>
      <c r="P51">
        <v>523</v>
      </c>
      <c r="Q51">
        <v>339</v>
      </c>
      <c r="R51">
        <v>603</v>
      </c>
      <c r="S51">
        <v>884</v>
      </c>
      <c r="T51">
        <v>267</v>
      </c>
      <c r="U51">
        <v>155</v>
      </c>
      <c r="V51">
        <v>188</v>
      </c>
      <c r="W51">
        <v>150</v>
      </c>
      <c r="X51">
        <v>272</v>
      </c>
      <c r="Y51">
        <v>621</v>
      </c>
    </row>
    <row r="52" spans="1:25" x14ac:dyDescent="0.25">
      <c r="A52" s="1" t="s">
        <v>51</v>
      </c>
      <c r="B52">
        <v>332</v>
      </c>
      <c r="C52">
        <v>331</v>
      </c>
      <c r="D52">
        <v>956</v>
      </c>
      <c r="E52">
        <v>458</v>
      </c>
      <c r="F52">
        <v>208</v>
      </c>
      <c r="G52">
        <v>698</v>
      </c>
      <c r="H52">
        <v>955</v>
      </c>
      <c r="I52">
        <v>584</v>
      </c>
      <c r="J52">
        <v>652</v>
      </c>
      <c r="K52">
        <v>798</v>
      </c>
      <c r="L52">
        <v>233</v>
      </c>
      <c r="M52">
        <v>460</v>
      </c>
      <c r="N52">
        <v>321</v>
      </c>
      <c r="O52">
        <v>838</v>
      </c>
      <c r="P52">
        <v>143</v>
      </c>
      <c r="Q52">
        <v>991</v>
      </c>
      <c r="R52">
        <v>522</v>
      </c>
      <c r="S52">
        <v>983</v>
      </c>
      <c r="T52">
        <v>702</v>
      </c>
      <c r="U52">
        <v>824</v>
      </c>
      <c r="V52">
        <v>171</v>
      </c>
      <c r="W52">
        <v>599</v>
      </c>
      <c r="X52">
        <v>211</v>
      </c>
      <c r="Y52">
        <v>751</v>
      </c>
    </row>
    <row r="53" spans="1:25" x14ac:dyDescent="0.25">
      <c r="A53" s="1" t="s">
        <v>52</v>
      </c>
      <c r="B53">
        <v>996</v>
      </c>
      <c r="C53">
        <v>736</v>
      </c>
      <c r="D53">
        <v>891</v>
      </c>
      <c r="E53">
        <v>345</v>
      </c>
      <c r="F53">
        <v>409</v>
      </c>
      <c r="G53">
        <v>524</v>
      </c>
      <c r="H53">
        <v>189</v>
      </c>
      <c r="I53">
        <v>657</v>
      </c>
      <c r="J53">
        <v>137</v>
      </c>
      <c r="K53">
        <v>266</v>
      </c>
      <c r="L53">
        <v>153</v>
      </c>
      <c r="M53">
        <v>765</v>
      </c>
      <c r="N53">
        <v>708</v>
      </c>
      <c r="O53">
        <v>921</v>
      </c>
      <c r="P53">
        <v>160</v>
      </c>
      <c r="Q53">
        <v>530</v>
      </c>
      <c r="R53">
        <v>995</v>
      </c>
      <c r="S53">
        <v>540</v>
      </c>
      <c r="T53">
        <v>880</v>
      </c>
      <c r="U53">
        <v>448</v>
      </c>
      <c r="V53">
        <v>221</v>
      </c>
      <c r="W53">
        <v>570</v>
      </c>
      <c r="X53">
        <v>405</v>
      </c>
      <c r="Y53">
        <v>690</v>
      </c>
    </row>
    <row r="54" spans="1:25" x14ac:dyDescent="0.25">
      <c r="A54" s="1" t="s">
        <v>53</v>
      </c>
      <c r="B54">
        <v>113</v>
      </c>
      <c r="C54">
        <v>583</v>
      </c>
      <c r="D54">
        <v>545</v>
      </c>
      <c r="E54">
        <v>702</v>
      </c>
      <c r="F54">
        <v>510</v>
      </c>
      <c r="G54">
        <v>662</v>
      </c>
      <c r="H54">
        <v>127</v>
      </c>
      <c r="I54">
        <v>525</v>
      </c>
      <c r="J54">
        <v>874</v>
      </c>
      <c r="K54">
        <v>269</v>
      </c>
      <c r="L54">
        <v>154</v>
      </c>
      <c r="M54">
        <v>293</v>
      </c>
      <c r="N54">
        <v>595</v>
      </c>
      <c r="O54">
        <v>716</v>
      </c>
      <c r="P54">
        <v>352</v>
      </c>
      <c r="Q54">
        <v>431</v>
      </c>
      <c r="R54">
        <v>276</v>
      </c>
      <c r="S54">
        <v>457</v>
      </c>
      <c r="T54">
        <v>968</v>
      </c>
      <c r="U54">
        <v>842</v>
      </c>
      <c r="V54">
        <v>429</v>
      </c>
      <c r="W54">
        <v>669</v>
      </c>
      <c r="X54">
        <v>456</v>
      </c>
      <c r="Y54">
        <v>576</v>
      </c>
    </row>
    <row r="55" spans="1:25" x14ac:dyDescent="0.25">
      <c r="A55" s="1" t="s">
        <v>54</v>
      </c>
      <c r="B55">
        <v>931</v>
      </c>
      <c r="C55">
        <v>288</v>
      </c>
      <c r="D55">
        <v>628</v>
      </c>
      <c r="E55">
        <v>433</v>
      </c>
      <c r="F55">
        <v>200</v>
      </c>
      <c r="G55">
        <v>394</v>
      </c>
      <c r="H55">
        <v>908</v>
      </c>
      <c r="I55">
        <v>385</v>
      </c>
      <c r="J55">
        <v>557</v>
      </c>
      <c r="K55">
        <v>422</v>
      </c>
      <c r="L55">
        <v>360</v>
      </c>
      <c r="M55">
        <v>734</v>
      </c>
      <c r="N55">
        <v>721</v>
      </c>
      <c r="O55">
        <v>358</v>
      </c>
      <c r="P55">
        <v>519</v>
      </c>
      <c r="Q55">
        <v>208</v>
      </c>
      <c r="R55">
        <v>456</v>
      </c>
      <c r="S55">
        <v>279</v>
      </c>
      <c r="T55">
        <v>518</v>
      </c>
      <c r="U55">
        <v>673</v>
      </c>
      <c r="V55">
        <v>152</v>
      </c>
      <c r="W55">
        <v>333</v>
      </c>
      <c r="X55">
        <v>724</v>
      </c>
      <c r="Y55">
        <v>563</v>
      </c>
    </row>
    <row r="56" spans="1:25" x14ac:dyDescent="0.25">
      <c r="A56" s="1" t="s">
        <v>55</v>
      </c>
      <c r="B56">
        <v>552</v>
      </c>
      <c r="C56">
        <v>790</v>
      </c>
      <c r="D56">
        <v>514</v>
      </c>
      <c r="E56">
        <v>978</v>
      </c>
      <c r="F56">
        <v>103</v>
      </c>
      <c r="G56">
        <v>800</v>
      </c>
      <c r="H56">
        <v>356</v>
      </c>
      <c r="I56">
        <v>176</v>
      </c>
      <c r="J56">
        <v>830</v>
      </c>
      <c r="K56">
        <v>224</v>
      </c>
      <c r="L56">
        <v>176</v>
      </c>
      <c r="M56">
        <v>293</v>
      </c>
      <c r="N56">
        <v>253</v>
      </c>
      <c r="O56">
        <v>577</v>
      </c>
      <c r="P56">
        <v>980</v>
      </c>
      <c r="Q56">
        <v>510</v>
      </c>
      <c r="R56">
        <v>657</v>
      </c>
      <c r="S56">
        <v>949</v>
      </c>
      <c r="T56">
        <v>554</v>
      </c>
      <c r="U56">
        <v>913</v>
      </c>
      <c r="V56">
        <v>921</v>
      </c>
      <c r="W56">
        <v>978</v>
      </c>
      <c r="X56">
        <v>577</v>
      </c>
      <c r="Y56">
        <v>688</v>
      </c>
    </row>
    <row r="57" spans="1:25" x14ac:dyDescent="0.25">
      <c r="A57" s="1" t="s">
        <v>56</v>
      </c>
      <c r="B57">
        <v>372</v>
      </c>
      <c r="C57">
        <v>273</v>
      </c>
      <c r="D57">
        <v>631</v>
      </c>
      <c r="E57">
        <v>629</v>
      </c>
      <c r="F57">
        <v>594</v>
      </c>
      <c r="G57">
        <v>705</v>
      </c>
      <c r="H57">
        <v>881</v>
      </c>
      <c r="I57">
        <v>151</v>
      </c>
      <c r="J57">
        <v>158</v>
      </c>
      <c r="K57">
        <v>244</v>
      </c>
      <c r="L57">
        <v>865</v>
      </c>
      <c r="M57">
        <v>455</v>
      </c>
      <c r="N57">
        <v>708</v>
      </c>
      <c r="O57">
        <v>235</v>
      </c>
      <c r="P57">
        <v>369</v>
      </c>
      <c r="Q57">
        <v>290</v>
      </c>
      <c r="R57">
        <v>311</v>
      </c>
      <c r="S57">
        <v>647</v>
      </c>
      <c r="T57">
        <v>652</v>
      </c>
      <c r="U57">
        <v>223</v>
      </c>
      <c r="V57">
        <v>355</v>
      </c>
      <c r="W57">
        <v>211</v>
      </c>
      <c r="X57">
        <v>706</v>
      </c>
      <c r="Y57">
        <v>716</v>
      </c>
    </row>
    <row r="58" spans="1:25" x14ac:dyDescent="0.25">
      <c r="A58" s="1" t="s">
        <v>57</v>
      </c>
      <c r="B58">
        <v>148</v>
      </c>
      <c r="C58">
        <v>148</v>
      </c>
      <c r="D58">
        <v>497</v>
      </c>
      <c r="E58">
        <v>789</v>
      </c>
      <c r="F58">
        <v>617</v>
      </c>
      <c r="G58">
        <v>225</v>
      </c>
      <c r="H58">
        <v>628</v>
      </c>
      <c r="I58">
        <v>921</v>
      </c>
      <c r="J58">
        <v>117</v>
      </c>
      <c r="K58">
        <v>738</v>
      </c>
      <c r="L58">
        <v>930</v>
      </c>
      <c r="M58">
        <v>561</v>
      </c>
      <c r="N58">
        <v>435</v>
      </c>
      <c r="O58">
        <v>263</v>
      </c>
      <c r="P58">
        <v>272</v>
      </c>
      <c r="Q58">
        <v>504</v>
      </c>
      <c r="R58">
        <v>642</v>
      </c>
      <c r="S58">
        <v>167</v>
      </c>
      <c r="T58">
        <v>208</v>
      </c>
      <c r="U58">
        <v>166</v>
      </c>
      <c r="V58">
        <v>776</v>
      </c>
      <c r="W58">
        <v>320</v>
      </c>
      <c r="X58">
        <v>940</v>
      </c>
      <c r="Y58">
        <v>991</v>
      </c>
    </row>
    <row r="59" spans="1:25" x14ac:dyDescent="0.25">
      <c r="A59" s="1" t="s">
        <v>58</v>
      </c>
      <c r="B59">
        <v>407</v>
      </c>
      <c r="C59">
        <v>867</v>
      </c>
      <c r="D59">
        <v>971</v>
      </c>
      <c r="E59">
        <v>977</v>
      </c>
      <c r="F59">
        <v>603</v>
      </c>
      <c r="G59">
        <v>965</v>
      </c>
      <c r="H59">
        <v>586</v>
      </c>
      <c r="I59">
        <v>562</v>
      </c>
      <c r="J59">
        <v>486</v>
      </c>
      <c r="K59">
        <v>231</v>
      </c>
      <c r="L59">
        <v>928</v>
      </c>
      <c r="M59">
        <v>833</v>
      </c>
      <c r="N59">
        <v>931</v>
      </c>
      <c r="O59">
        <v>900</v>
      </c>
      <c r="P59">
        <v>706</v>
      </c>
      <c r="Q59">
        <v>144</v>
      </c>
      <c r="R59">
        <v>977</v>
      </c>
      <c r="S59">
        <v>217</v>
      </c>
      <c r="T59">
        <v>635</v>
      </c>
      <c r="U59">
        <v>808</v>
      </c>
      <c r="V59">
        <v>780</v>
      </c>
      <c r="W59">
        <v>787</v>
      </c>
      <c r="X59">
        <v>354</v>
      </c>
      <c r="Y59">
        <v>784</v>
      </c>
    </row>
    <row r="60" spans="1:25" x14ac:dyDescent="0.25">
      <c r="A60" s="1" t="s">
        <v>59</v>
      </c>
      <c r="B60">
        <v>758</v>
      </c>
      <c r="C60">
        <v>626</v>
      </c>
      <c r="D60">
        <v>314</v>
      </c>
      <c r="E60">
        <v>792</v>
      </c>
      <c r="F60">
        <v>276</v>
      </c>
      <c r="G60">
        <v>500</v>
      </c>
      <c r="H60">
        <v>455</v>
      </c>
      <c r="I60">
        <v>151</v>
      </c>
      <c r="J60">
        <v>936</v>
      </c>
      <c r="K60">
        <v>548</v>
      </c>
      <c r="L60">
        <v>510</v>
      </c>
      <c r="M60">
        <v>503</v>
      </c>
      <c r="N60">
        <v>691</v>
      </c>
      <c r="O60">
        <v>266</v>
      </c>
      <c r="P60">
        <v>657</v>
      </c>
      <c r="Q60">
        <v>771</v>
      </c>
      <c r="R60">
        <v>397</v>
      </c>
      <c r="S60">
        <v>868</v>
      </c>
      <c r="T60">
        <v>513</v>
      </c>
      <c r="U60">
        <v>409</v>
      </c>
      <c r="V60">
        <v>895</v>
      </c>
      <c r="W60">
        <v>684</v>
      </c>
      <c r="X60">
        <v>496</v>
      </c>
      <c r="Y60">
        <v>562</v>
      </c>
    </row>
    <row r="61" spans="1:25" x14ac:dyDescent="0.25">
      <c r="A61" s="1" t="s">
        <v>60</v>
      </c>
      <c r="B61">
        <v>955</v>
      </c>
      <c r="C61">
        <v>906</v>
      </c>
      <c r="D61">
        <v>691</v>
      </c>
      <c r="E61">
        <v>616</v>
      </c>
      <c r="F61">
        <v>159</v>
      </c>
      <c r="G61">
        <v>359</v>
      </c>
      <c r="H61">
        <v>687</v>
      </c>
      <c r="I61">
        <v>532</v>
      </c>
      <c r="J61">
        <v>546</v>
      </c>
      <c r="K61">
        <v>587</v>
      </c>
      <c r="L61">
        <v>337</v>
      </c>
      <c r="M61">
        <v>730</v>
      </c>
      <c r="N61">
        <v>951</v>
      </c>
      <c r="O61">
        <v>966</v>
      </c>
      <c r="P61">
        <v>934</v>
      </c>
      <c r="Q61">
        <v>720</v>
      </c>
      <c r="R61">
        <v>206</v>
      </c>
      <c r="S61">
        <v>592</v>
      </c>
      <c r="T61">
        <v>883</v>
      </c>
      <c r="U61">
        <v>284</v>
      </c>
      <c r="V61">
        <v>142</v>
      </c>
      <c r="W61">
        <v>556</v>
      </c>
      <c r="X61">
        <v>643</v>
      </c>
      <c r="Y61">
        <v>841</v>
      </c>
    </row>
    <row r="62" spans="1:25" x14ac:dyDescent="0.25">
      <c r="A62" s="1" t="s">
        <v>61</v>
      </c>
      <c r="B62">
        <v>295</v>
      </c>
      <c r="C62">
        <v>768</v>
      </c>
      <c r="D62">
        <v>955</v>
      </c>
      <c r="E62">
        <v>322</v>
      </c>
      <c r="F62">
        <v>664</v>
      </c>
      <c r="G62">
        <v>761</v>
      </c>
      <c r="H62">
        <v>850</v>
      </c>
      <c r="I62">
        <v>853</v>
      </c>
      <c r="J62">
        <v>737</v>
      </c>
      <c r="K62">
        <v>869</v>
      </c>
      <c r="L62">
        <v>649</v>
      </c>
      <c r="M62">
        <v>746</v>
      </c>
      <c r="N62">
        <v>611</v>
      </c>
      <c r="O62">
        <v>346</v>
      </c>
      <c r="P62">
        <v>876</v>
      </c>
      <c r="Q62">
        <v>253</v>
      </c>
      <c r="R62">
        <v>198</v>
      </c>
      <c r="S62">
        <v>600</v>
      </c>
      <c r="T62">
        <v>509</v>
      </c>
      <c r="U62">
        <v>234</v>
      </c>
      <c r="V62">
        <v>760</v>
      </c>
      <c r="W62">
        <v>165</v>
      </c>
      <c r="X62">
        <v>222</v>
      </c>
      <c r="Y62">
        <v>430</v>
      </c>
    </row>
    <row r="63" spans="1:25" x14ac:dyDescent="0.25">
      <c r="A63" s="1" t="s">
        <v>62</v>
      </c>
      <c r="B63">
        <v>770</v>
      </c>
      <c r="C63">
        <v>696</v>
      </c>
      <c r="D63">
        <v>200</v>
      </c>
      <c r="E63">
        <v>525</v>
      </c>
      <c r="F63">
        <v>220</v>
      </c>
      <c r="G63">
        <v>472</v>
      </c>
      <c r="H63">
        <v>231</v>
      </c>
      <c r="I63">
        <v>799</v>
      </c>
      <c r="J63">
        <v>714</v>
      </c>
      <c r="K63">
        <v>857</v>
      </c>
      <c r="L63">
        <v>405</v>
      </c>
      <c r="M63">
        <v>800</v>
      </c>
      <c r="N63">
        <v>606</v>
      </c>
      <c r="O63">
        <v>681</v>
      </c>
      <c r="P63">
        <v>149</v>
      </c>
      <c r="Q63">
        <v>716</v>
      </c>
      <c r="R63">
        <v>691</v>
      </c>
      <c r="S63">
        <v>409</v>
      </c>
      <c r="T63">
        <v>377</v>
      </c>
      <c r="U63">
        <v>657</v>
      </c>
      <c r="V63">
        <v>231</v>
      </c>
      <c r="W63">
        <v>110</v>
      </c>
      <c r="X63">
        <v>422</v>
      </c>
      <c r="Y63">
        <v>562</v>
      </c>
    </row>
    <row r="64" spans="1:25" x14ac:dyDescent="0.25">
      <c r="A64" s="1" t="s">
        <v>63</v>
      </c>
      <c r="B64">
        <v>869</v>
      </c>
      <c r="C64">
        <v>874</v>
      </c>
      <c r="D64">
        <v>301</v>
      </c>
      <c r="E64">
        <v>756</v>
      </c>
      <c r="F64">
        <v>313</v>
      </c>
      <c r="G64">
        <v>386</v>
      </c>
      <c r="H64">
        <v>372</v>
      </c>
      <c r="I64">
        <v>628</v>
      </c>
      <c r="J64">
        <v>507</v>
      </c>
      <c r="K64">
        <v>901</v>
      </c>
      <c r="L64">
        <v>389</v>
      </c>
      <c r="M64">
        <v>793</v>
      </c>
      <c r="N64">
        <v>470</v>
      </c>
      <c r="O64">
        <v>652</v>
      </c>
      <c r="P64">
        <v>863</v>
      </c>
      <c r="Q64">
        <v>741</v>
      </c>
      <c r="R64">
        <v>535</v>
      </c>
      <c r="S64">
        <v>521</v>
      </c>
      <c r="T64">
        <v>443</v>
      </c>
      <c r="U64">
        <v>328</v>
      </c>
      <c r="V64">
        <v>435</v>
      </c>
      <c r="W64">
        <v>355</v>
      </c>
      <c r="X64">
        <v>159</v>
      </c>
      <c r="Y64">
        <v>737</v>
      </c>
    </row>
    <row r="65" spans="1:25" x14ac:dyDescent="0.25">
      <c r="A65" s="1" t="s">
        <v>64</v>
      </c>
      <c r="B65">
        <v>342</v>
      </c>
      <c r="C65">
        <v>205</v>
      </c>
      <c r="D65">
        <v>185</v>
      </c>
      <c r="E65">
        <v>819</v>
      </c>
      <c r="F65">
        <v>467</v>
      </c>
      <c r="G65">
        <v>432</v>
      </c>
      <c r="H65">
        <v>186</v>
      </c>
      <c r="I65">
        <v>501</v>
      </c>
      <c r="J65">
        <v>340</v>
      </c>
      <c r="K65">
        <v>971</v>
      </c>
      <c r="L65">
        <v>416</v>
      </c>
      <c r="M65">
        <v>633</v>
      </c>
      <c r="N65">
        <v>807</v>
      </c>
      <c r="O65">
        <v>128</v>
      </c>
      <c r="P65">
        <v>464</v>
      </c>
      <c r="Q65">
        <v>724</v>
      </c>
      <c r="R65">
        <v>430</v>
      </c>
      <c r="S65">
        <v>979</v>
      </c>
      <c r="T65">
        <v>113</v>
      </c>
      <c r="U65">
        <v>407</v>
      </c>
      <c r="V65">
        <v>284</v>
      </c>
      <c r="W65">
        <v>402</v>
      </c>
      <c r="X65">
        <v>927</v>
      </c>
      <c r="Y65">
        <v>932</v>
      </c>
    </row>
    <row r="66" spans="1:25" x14ac:dyDescent="0.25">
      <c r="A66" s="1" t="s">
        <v>65</v>
      </c>
      <c r="B66">
        <v>649</v>
      </c>
      <c r="C66">
        <v>124</v>
      </c>
      <c r="D66">
        <v>110</v>
      </c>
      <c r="E66">
        <v>453</v>
      </c>
      <c r="F66">
        <v>188</v>
      </c>
      <c r="G66">
        <v>846</v>
      </c>
      <c r="H66">
        <v>876</v>
      </c>
      <c r="I66">
        <v>674</v>
      </c>
      <c r="J66">
        <v>554</v>
      </c>
      <c r="K66">
        <v>567</v>
      </c>
      <c r="L66">
        <v>255</v>
      </c>
      <c r="M66">
        <v>618</v>
      </c>
      <c r="N66">
        <v>300</v>
      </c>
      <c r="O66">
        <v>572</v>
      </c>
      <c r="P66">
        <v>325</v>
      </c>
      <c r="Q66">
        <v>893</v>
      </c>
      <c r="R66">
        <v>133</v>
      </c>
      <c r="S66">
        <v>583</v>
      </c>
      <c r="T66">
        <v>961</v>
      </c>
      <c r="U66">
        <v>430</v>
      </c>
      <c r="V66">
        <v>902</v>
      </c>
      <c r="W66">
        <v>850</v>
      </c>
      <c r="X66">
        <v>610</v>
      </c>
      <c r="Y66">
        <v>378</v>
      </c>
    </row>
    <row r="67" spans="1:25" x14ac:dyDescent="0.25">
      <c r="A67" s="1" t="s">
        <v>66</v>
      </c>
      <c r="B67">
        <v>911</v>
      </c>
      <c r="C67">
        <v>485</v>
      </c>
      <c r="D67">
        <v>737</v>
      </c>
      <c r="E67">
        <v>106</v>
      </c>
      <c r="F67">
        <v>269</v>
      </c>
      <c r="G67">
        <v>934</v>
      </c>
      <c r="H67">
        <v>235</v>
      </c>
      <c r="I67">
        <v>479</v>
      </c>
      <c r="J67">
        <v>819</v>
      </c>
      <c r="K67">
        <v>1000</v>
      </c>
      <c r="L67">
        <v>360</v>
      </c>
      <c r="M67">
        <v>301</v>
      </c>
      <c r="N67">
        <v>356</v>
      </c>
      <c r="O67">
        <v>785</v>
      </c>
      <c r="P67">
        <v>174</v>
      </c>
      <c r="Q67">
        <v>453</v>
      </c>
      <c r="R67">
        <v>276</v>
      </c>
      <c r="S67">
        <v>675</v>
      </c>
      <c r="T67">
        <v>753</v>
      </c>
      <c r="U67">
        <v>559</v>
      </c>
      <c r="V67">
        <v>179</v>
      </c>
      <c r="W67">
        <v>761</v>
      </c>
      <c r="X67">
        <v>335</v>
      </c>
      <c r="Y67">
        <v>702</v>
      </c>
    </row>
    <row r="68" spans="1:25" x14ac:dyDescent="0.25">
      <c r="A68" s="1" t="s">
        <v>67</v>
      </c>
      <c r="B68">
        <v>591</v>
      </c>
      <c r="C68">
        <v>602</v>
      </c>
      <c r="D68">
        <v>357</v>
      </c>
      <c r="E68">
        <v>479</v>
      </c>
      <c r="F68">
        <v>344</v>
      </c>
      <c r="G68">
        <v>541</v>
      </c>
      <c r="H68">
        <v>864</v>
      </c>
      <c r="I68">
        <v>381</v>
      </c>
      <c r="J68">
        <v>239</v>
      </c>
      <c r="K68">
        <v>368</v>
      </c>
      <c r="L68">
        <v>858</v>
      </c>
      <c r="M68">
        <v>723</v>
      </c>
      <c r="N68">
        <v>575</v>
      </c>
      <c r="O68">
        <v>135</v>
      </c>
      <c r="P68">
        <v>115</v>
      </c>
      <c r="Q68">
        <v>490</v>
      </c>
      <c r="R68">
        <v>880</v>
      </c>
      <c r="S68">
        <v>295</v>
      </c>
      <c r="T68">
        <v>235</v>
      </c>
      <c r="U68">
        <v>456</v>
      </c>
      <c r="V68">
        <v>965</v>
      </c>
      <c r="W68">
        <v>872</v>
      </c>
      <c r="X68">
        <v>200</v>
      </c>
      <c r="Y68">
        <v>286</v>
      </c>
    </row>
    <row r="69" spans="1:25" x14ac:dyDescent="0.25">
      <c r="A69" s="1" t="s">
        <v>68</v>
      </c>
      <c r="B69">
        <v>249</v>
      </c>
      <c r="C69">
        <v>443</v>
      </c>
      <c r="D69">
        <v>255</v>
      </c>
      <c r="E69">
        <v>479</v>
      </c>
      <c r="F69">
        <v>304</v>
      </c>
      <c r="G69">
        <v>474</v>
      </c>
      <c r="H69">
        <v>355</v>
      </c>
      <c r="I69">
        <v>756</v>
      </c>
      <c r="J69">
        <v>965</v>
      </c>
      <c r="K69">
        <v>735</v>
      </c>
      <c r="L69">
        <v>947</v>
      </c>
      <c r="M69">
        <v>341</v>
      </c>
      <c r="N69">
        <v>245</v>
      </c>
      <c r="O69">
        <v>943</v>
      </c>
      <c r="P69">
        <v>679</v>
      </c>
      <c r="Q69">
        <v>770</v>
      </c>
      <c r="R69">
        <v>199</v>
      </c>
      <c r="S69">
        <v>900</v>
      </c>
      <c r="T69">
        <v>636</v>
      </c>
      <c r="U69">
        <v>970</v>
      </c>
      <c r="V69">
        <v>122</v>
      </c>
      <c r="W69">
        <v>261</v>
      </c>
      <c r="X69">
        <v>831</v>
      </c>
      <c r="Y69">
        <v>332</v>
      </c>
    </row>
    <row r="70" spans="1:25" x14ac:dyDescent="0.25">
      <c r="A70" s="1" t="s">
        <v>69</v>
      </c>
      <c r="B70">
        <v>212</v>
      </c>
      <c r="C70">
        <v>406</v>
      </c>
      <c r="D70">
        <v>953</v>
      </c>
      <c r="E70">
        <v>871</v>
      </c>
      <c r="F70">
        <v>723</v>
      </c>
      <c r="G70">
        <v>973</v>
      </c>
      <c r="H70">
        <v>893</v>
      </c>
      <c r="I70">
        <v>549</v>
      </c>
      <c r="J70">
        <v>348</v>
      </c>
      <c r="K70">
        <v>829</v>
      </c>
      <c r="L70">
        <v>632</v>
      </c>
      <c r="M70">
        <v>792</v>
      </c>
      <c r="N70">
        <v>526</v>
      </c>
      <c r="O70">
        <v>485</v>
      </c>
      <c r="P70">
        <v>708</v>
      </c>
      <c r="Q70">
        <v>295</v>
      </c>
      <c r="R70">
        <v>189</v>
      </c>
      <c r="S70">
        <v>285</v>
      </c>
      <c r="T70">
        <v>362</v>
      </c>
      <c r="U70">
        <v>746</v>
      </c>
      <c r="V70">
        <v>120</v>
      </c>
      <c r="W70">
        <v>806</v>
      </c>
      <c r="X70">
        <v>218</v>
      </c>
      <c r="Y70">
        <v>862</v>
      </c>
    </row>
    <row r="71" spans="1:25" x14ac:dyDescent="0.25">
      <c r="A71" s="1" t="s">
        <v>70</v>
      </c>
      <c r="B71">
        <v>242</v>
      </c>
      <c r="C71">
        <v>957</v>
      </c>
      <c r="D71">
        <v>136</v>
      </c>
      <c r="E71">
        <v>838</v>
      </c>
      <c r="F71">
        <v>780</v>
      </c>
      <c r="G71">
        <v>849</v>
      </c>
      <c r="H71">
        <v>398</v>
      </c>
      <c r="I71">
        <v>998</v>
      </c>
      <c r="J71">
        <v>693</v>
      </c>
      <c r="K71">
        <v>824</v>
      </c>
      <c r="L71">
        <v>909</v>
      </c>
      <c r="M71">
        <v>147</v>
      </c>
      <c r="N71">
        <v>151</v>
      </c>
      <c r="O71">
        <v>775</v>
      </c>
      <c r="P71">
        <v>362</v>
      </c>
      <c r="Q71">
        <v>145</v>
      </c>
      <c r="R71">
        <v>771</v>
      </c>
      <c r="S71">
        <v>847</v>
      </c>
      <c r="T71">
        <v>297</v>
      </c>
      <c r="U71">
        <v>511</v>
      </c>
      <c r="V71">
        <v>317</v>
      </c>
      <c r="W71">
        <v>138</v>
      </c>
      <c r="X71">
        <v>837</v>
      </c>
      <c r="Y71">
        <v>624</v>
      </c>
    </row>
    <row r="72" spans="1:25" x14ac:dyDescent="0.25">
      <c r="A72" s="1" t="s">
        <v>71</v>
      </c>
      <c r="B72">
        <v>972</v>
      </c>
      <c r="C72">
        <v>598</v>
      </c>
      <c r="D72">
        <v>792</v>
      </c>
      <c r="E72">
        <v>445</v>
      </c>
      <c r="F72">
        <v>468</v>
      </c>
      <c r="G72">
        <v>563</v>
      </c>
      <c r="H72">
        <v>470</v>
      </c>
      <c r="I72">
        <v>364</v>
      </c>
      <c r="J72">
        <v>367</v>
      </c>
      <c r="K72">
        <v>980</v>
      </c>
      <c r="L72">
        <v>657</v>
      </c>
      <c r="M72">
        <v>403</v>
      </c>
      <c r="N72">
        <v>836</v>
      </c>
      <c r="O72">
        <v>479</v>
      </c>
      <c r="P72">
        <v>114</v>
      </c>
      <c r="Q72">
        <v>817</v>
      </c>
      <c r="R72">
        <v>726</v>
      </c>
      <c r="S72">
        <v>351</v>
      </c>
      <c r="T72">
        <v>278</v>
      </c>
      <c r="U72">
        <v>689</v>
      </c>
      <c r="V72">
        <v>240</v>
      </c>
      <c r="W72">
        <v>933</v>
      </c>
      <c r="X72">
        <v>373</v>
      </c>
      <c r="Y72">
        <v>785</v>
      </c>
    </row>
    <row r="73" spans="1:25" x14ac:dyDescent="0.25">
      <c r="A73" s="1" t="s">
        <v>72</v>
      </c>
      <c r="B73">
        <v>543</v>
      </c>
      <c r="C73">
        <v>723</v>
      </c>
      <c r="D73">
        <v>771</v>
      </c>
      <c r="E73">
        <v>734</v>
      </c>
      <c r="F73">
        <v>321</v>
      </c>
      <c r="G73">
        <v>982</v>
      </c>
      <c r="H73">
        <v>980</v>
      </c>
      <c r="I73">
        <v>662</v>
      </c>
      <c r="J73">
        <v>440</v>
      </c>
      <c r="K73">
        <v>515</v>
      </c>
      <c r="L73">
        <v>486</v>
      </c>
      <c r="M73">
        <v>594</v>
      </c>
      <c r="N73">
        <v>596</v>
      </c>
      <c r="O73">
        <v>837</v>
      </c>
      <c r="P73">
        <v>273</v>
      </c>
      <c r="Q73">
        <v>208</v>
      </c>
      <c r="R73">
        <v>743</v>
      </c>
      <c r="S73">
        <v>411</v>
      </c>
      <c r="T73">
        <v>879</v>
      </c>
      <c r="U73">
        <v>952</v>
      </c>
      <c r="V73">
        <v>207</v>
      </c>
      <c r="W73">
        <v>587</v>
      </c>
      <c r="X73">
        <v>766</v>
      </c>
      <c r="Y73">
        <v>301</v>
      </c>
    </row>
    <row r="74" spans="1:25" x14ac:dyDescent="0.25">
      <c r="A74" s="1" t="s">
        <v>73</v>
      </c>
      <c r="B74">
        <v>977</v>
      </c>
      <c r="C74">
        <v>943</v>
      </c>
      <c r="D74">
        <v>326</v>
      </c>
      <c r="E74">
        <v>909</v>
      </c>
      <c r="F74">
        <v>894</v>
      </c>
      <c r="G74">
        <v>139</v>
      </c>
      <c r="H74">
        <v>621</v>
      </c>
      <c r="I74">
        <v>311</v>
      </c>
      <c r="J74">
        <v>893</v>
      </c>
      <c r="K74">
        <v>742</v>
      </c>
      <c r="L74">
        <v>694</v>
      </c>
      <c r="M74">
        <v>755</v>
      </c>
      <c r="N74">
        <v>622</v>
      </c>
      <c r="O74">
        <v>807</v>
      </c>
      <c r="P74">
        <v>313</v>
      </c>
      <c r="Q74">
        <v>493</v>
      </c>
      <c r="R74">
        <v>858</v>
      </c>
      <c r="S74">
        <v>848</v>
      </c>
      <c r="T74">
        <v>536</v>
      </c>
      <c r="U74">
        <v>688</v>
      </c>
      <c r="V74">
        <v>141</v>
      </c>
      <c r="W74">
        <v>454</v>
      </c>
      <c r="X74">
        <v>550</v>
      </c>
      <c r="Y74">
        <v>524</v>
      </c>
    </row>
    <row r="75" spans="1:25" x14ac:dyDescent="0.25">
      <c r="A75" s="1" t="s">
        <v>74</v>
      </c>
      <c r="B75">
        <v>206</v>
      </c>
      <c r="C75">
        <v>866</v>
      </c>
      <c r="D75">
        <v>147</v>
      </c>
      <c r="E75">
        <v>433</v>
      </c>
      <c r="F75">
        <v>121</v>
      </c>
      <c r="G75">
        <v>509</v>
      </c>
      <c r="H75">
        <v>286</v>
      </c>
      <c r="I75">
        <v>801</v>
      </c>
      <c r="J75">
        <v>802</v>
      </c>
      <c r="K75">
        <v>635</v>
      </c>
      <c r="L75">
        <v>572</v>
      </c>
      <c r="M75">
        <v>519</v>
      </c>
      <c r="N75">
        <v>662</v>
      </c>
      <c r="O75">
        <v>767</v>
      </c>
      <c r="P75">
        <v>140</v>
      </c>
      <c r="Q75">
        <v>695</v>
      </c>
      <c r="R75">
        <v>628</v>
      </c>
      <c r="S75">
        <v>351</v>
      </c>
      <c r="T75">
        <v>355</v>
      </c>
      <c r="U75">
        <v>688</v>
      </c>
      <c r="V75">
        <v>768</v>
      </c>
      <c r="W75">
        <v>449</v>
      </c>
      <c r="X75">
        <v>403</v>
      </c>
      <c r="Y75">
        <v>606</v>
      </c>
    </row>
    <row r="76" spans="1:25" x14ac:dyDescent="0.25">
      <c r="A76" s="1" t="s">
        <v>75</v>
      </c>
      <c r="B76">
        <v>983</v>
      </c>
      <c r="C76">
        <v>846</v>
      </c>
      <c r="D76">
        <v>126</v>
      </c>
      <c r="E76">
        <v>913</v>
      </c>
      <c r="F76">
        <v>765</v>
      </c>
      <c r="G76">
        <v>307</v>
      </c>
      <c r="H76">
        <v>251</v>
      </c>
      <c r="I76">
        <v>363</v>
      </c>
      <c r="J76">
        <v>531</v>
      </c>
      <c r="K76">
        <v>999</v>
      </c>
      <c r="L76">
        <v>109</v>
      </c>
      <c r="M76">
        <v>928</v>
      </c>
      <c r="N76">
        <v>735</v>
      </c>
      <c r="O76">
        <v>504</v>
      </c>
      <c r="P76">
        <v>353</v>
      </c>
      <c r="Q76">
        <v>721</v>
      </c>
      <c r="R76">
        <v>973</v>
      </c>
      <c r="S76">
        <v>584</v>
      </c>
      <c r="T76">
        <v>427</v>
      </c>
      <c r="U76">
        <v>160</v>
      </c>
      <c r="V76">
        <v>772</v>
      </c>
      <c r="W76">
        <v>202</v>
      </c>
      <c r="X76">
        <v>196</v>
      </c>
      <c r="Y76">
        <v>908</v>
      </c>
    </row>
    <row r="77" spans="1:25" x14ac:dyDescent="0.25">
      <c r="A77" s="1" t="s">
        <v>76</v>
      </c>
      <c r="B77">
        <v>973</v>
      </c>
      <c r="C77">
        <v>243</v>
      </c>
      <c r="D77">
        <v>812</v>
      </c>
      <c r="E77">
        <v>657</v>
      </c>
      <c r="F77">
        <v>740</v>
      </c>
      <c r="G77">
        <v>575</v>
      </c>
      <c r="H77">
        <v>877</v>
      </c>
      <c r="I77">
        <v>188</v>
      </c>
      <c r="J77">
        <v>314</v>
      </c>
      <c r="K77">
        <v>221</v>
      </c>
      <c r="L77">
        <v>282</v>
      </c>
      <c r="M77">
        <v>157</v>
      </c>
      <c r="N77">
        <v>670</v>
      </c>
      <c r="O77">
        <v>678</v>
      </c>
      <c r="P77">
        <v>519</v>
      </c>
      <c r="Q77">
        <v>713</v>
      </c>
      <c r="R77">
        <v>634</v>
      </c>
      <c r="S77">
        <v>295</v>
      </c>
      <c r="T77">
        <v>980</v>
      </c>
      <c r="U77">
        <v>456</v>
      </c>
      <c r="V77">
        <v>993</v>
      </c>
      <c r="W77">
        <v>716</v>
      </c>
      <c r="X77">
        <v>821</v>
      </c>
      <c r="Y77">
        <v>651</v>
      </c>
    </row>
    <row r="78" spans="1:25" x14ac:dyDescent="0.25">
      <c r="A78" s="1" t="s">
        <v>77</v>
      </c>
      <c r="B78">
        <v>607</v>
      </c>
      <c r="C78">
        <v>862</v>
      </c>
      <c r="D78">
        <v>148</v>
      </c>
      <c r="E78">
        <v>569</v>
      </c>
      <c r="F78">
        <v>761</v>
      </c>
      <c r="G78">
        <v>997</v>
      </c>
      <c r="H78">
        <v>260</v>
      </c>
      <c r="I78">
        <v>308</v>
      </c>
      <c r="J78">
        <v>751</v>
      </c>
      <c r="K78">
        <v>824</v>
      </c>
      <c r="L78">
        <v>815</v>
      </c>
      <c r="M78">
        <v>761</v>
      </c>
      <c r="N78">
        <v>840</v>
      </c>
      <c r="O78">
        <v>568</v>
      </c>
      <c r="P78">
        <v>818</v>
      </c>
      <c r="Q78">
        <v>751</v>
      </c>
      <c r="R78">
        <v>256</v>
      </c>
      <c r="S78">
        <v>502</v>
      </c>
      <c r="T78">
        <v>969</v>
      </c>
      <c r="U78">
        <v>584</v>
      </c>
      <c r="V78">
        <v>889</v>
      </c>
      <c r="W78">
        <v>240</v>
      </c>
      <c r="X78">
        <v>670</v>
      </c>
      <c r="Y78">
        <v>893</v>
      </c>
    </row>
    <row r="79" spans="1:25" x14ac:dyDescent="0.25">
      <c r="A79" s="1" t="s">
        <v>78</v>
      </c>
      <c r="B79">
        <v>995</v>
      </c>
      <c r="C79">
        <v>812</v>
      </c>
      <c r="D79">
        <v>929</v>
      </c>
      <c r="E79">
        <v>854</v>
      </c>
      <c r="F79">
        <v>607</v>
      </c>
      <c r="G79">
        <v>170</v>
      </c>
      <c r="H79">
        <v>345</v>
      </c>
      <c r="I79">
        <v>836</v>
      </c>
      <c r="J79">
        <v>457</v>
      </c>
      <c r="K79">
        <v>367</v>
      </c>
      <c r="L79">
        <v>361</v>
      </c>
      <c r="M79">
        <v>943</v>
      </c>
      <c r="N79">
        <v>595</v>
      </c>
      <c r="O79">
        <v>218</v>
      </c>
      <c r="P79">
        <v>291</v>
      </c>
      <c r="Q79">
        <v>389</v>
      </c>
      <c r="R79">
        <v>761</v>
      </c>
      <c r="S79">
        <v>869</v>
      </c>
      <c r="T79">
        <v>971</v>
      </c>
      <c r="U79">
        <v>881</v>
      </c>
      <c r="V79">
        <v>717</v>
      </c>
      <c r="W79">
        <v>204</v>
      </c>
      <c r="X79">
        <v>726</v>
      </c>
      <c r="Y79">
        <v>793</v>
      </c>
    </row>
    <row r="80" spans="1:25" x14ac:dyDescent="0.25">
      <c r="A80" s="1" t="s">
        <v>79</v>
      </c>
      <c r="B80">
        <v>946</v>
      </c>
      <c r="C80">
        <v>895</v>
      </c>
      <c r="D80">
        <v>941</v>
      </c>
      <c r="E80">
        <v>305</v>
      </c>
      <c r="F80">
        <v>887</v>
      </c>
      <c r="G80">
        <v>287</v>
      </c>
      <c r="H80">
        <v>420</v>
      </c>
      <c r="I80">
        <v>520</v>
      </c>
      <c r="J80">
        <v>307</v>
      </c>
      <c r="K80">
        <v>121</v>
      </c>
      <c r="L80">
        <v>727</v>
      </c>
      <c r="M80">
        <v>495</v>
      </c>
      <c r="N80">
        <v>540</v>
      </c>
      <c r="O80">
        <v>702</v>
      </c>
      <c r="P80">
        <v>684</v>
      </c>
      <c r="Q80">
        <v>406</v>
      </c>
      <c r="R80">
        <v>909</v>
      </c>
      <c r="S80">
        <v>914</v>
      </c>
      <c r="T80">
        <v>981</v>
      </c>
      <c r="U80">
        <v>793</v>
      </c>
      <c r="V80">
        <v>688</v>
      </c>
      <c r="W80">
        <v>501</v>
      </c>
      <c r="X80">
        <v>314</v>
      </c>
      <c r="Y80">
        <v>469</v>
      </c>
    </row>
    <row r="81" spans="1:25" x14ac:dyDescent="0.25">
      <c r="A81" s="1" t="s">
        <v>80</v>
      </c>
      <c r="B81">
        <v>635</v>
      </c>
      <c r="C81">
        <v>702</v>
      </c>
      <c r="D81">
        <v>532</v>
      </c>
      <c r="E81">
        <v>495</v>
      </c>
      <c r="F81">
        <v>927</v>
      </c>
      <c r="G81">
        <v>491</v>
      </c>
      <c r="H81">
        <v>110</v>
      </c>
      <c r="I81">
        <v>643</v>
      </c>
      <c r="J81">
        <v>527</v>
      </c>
      <c r="K81">
        <v>619</v>
      </c>
      <c r="L81">
        <v>344</v>
      </c>
      <c r="M81">
        <v>276</v>
      </c>
      <c r="N81">
        <v>225</v>
      </c>
      <c r="O81">
        <v>847</v>
      </c>
      <c r="P81">
        <v>657</v>
      </c>
      <c r="Q81">
        <v>969</v>
      </c>
      <c r="R81">
        <v>886</v>
      </c>
      <c r="S81">
        <v>884</v>
      </c>
      <c r="T81">
        <v>116</v>
      </c>
      <c r="U81">
        <v>352</v>
      </c>
      <c r="V81">
        <v>355</v>
      </c>
      <c r="W81">
        <v>333</v>
      </c>
      <c r="X81">
        <v>190</v>
      </c>
      <c r="Y81">
        <v>156</v>
      </c>
    </row>
    <row r="82" spans="1:25" x14ac:dyDescent="0.25">
      <c r="A82" s="1" t="s">
        <v>81</v>
      </c>
      <c r="B82">
        <v>722</v>
      </c>
      <c r="C82">
        <v>970</v>
      </c>
      <c r="D82">
        <v>951</v>
      </c>
      <c r="E82">
        <v>916</v>
      </c>
      <c r="F82">
        <v>363</v>
      </c>
      <c r="G82">
        <v>293</v>
      </c>
      <c r="H82">
        <v>544</v>
      </c>
      <c r="I82">
        <v>723</v>
      </c>
      <c r="J82">
        <v>750</v>
      </c>
      <c r="K82">
        <v>656</v>
      </c>
      <c r="L82">
        <v>276</v>
      </c>
      <c r="M82">
        <v>665</v>
      </c>
      <c r="N82">
        <v>784</v>
      </c>
      <c r="O82">
        <v>979</v>
      </c>
      <c r="P82">
        <v>794</v>
      </c>
      <c r="Q82">
        <v>922</v>
      </c>
      <c r="R82">
        <v>664</v>
      </c>
      <c r="S82">
        <v>345</v>
      </c>
      <c r="T82">
        <v>918</v>
      </c>
      <c r="U82">
        <v>968</v>
      </c>
      <c r="V82">
        <v>330</v>
      </c>
      <c r="W82">
        <v>543</v>
      </c>
      <c r="X82">
        <v>807</v>
      </c>
      <c r="Y82">
        <v>724</v>
      </c>
    </row>
    <row r="83" spans="1:25" x14ac:dyDescent="0.25">
      <c r="A83" s="1" t="s">
        <v>82</v>
      </c>
      <c r="B83">
        <v>1000</v>
      </c>
      <c r="C83">
        <v>231</v>
      </c>
      <c r="D83">
        <v>960</v>
      </c>
      <c r="E83">
        <v>705</v>
      </c>
      <c r="F83">
        <v>673</v>
      </c>
      <c r="G83">
        <v>755</v>
      </c>
      <c r="H83">
        <v>762</v>
      </c>
      <c r="I83">
        <v>428</v>
      </c>
      <c r="J83">
        <v>335</v>
      </c>
      <c r="K83">
        <v>633</v>
      </c>
      <c r="L83">
        <v>380</v>
      </c>
      <c r="M83">
        <v>770</v>
      </c>
      <c r="N83">
        <v>766</v>
      </c>
      <c r="O83">
        <v>359</v>
      </c>
      <c r="P83">
        <v>346</v>
      </c>
      <c r="Q83">
        <v>608</v>
      </c>
      <c r="R83">
        <v>437</v>
      </c>
      <c r="S83">
        <v>302</v>
      </c>
      <c r="T83">
        <v>950</v>
      </c>
      <c r="U83">
        <v>616</v>
      </c>
      <c r="V83">
        <v>130</v>
      </c>
      <c r="W83">
        <v>687</v>
      </c>
      <c r="X83">
        <v>721</v>
      </c>
      <c r="Y83">
        <v>396</v>
      </c>
    </row>
    <row r="84" spans="1:25" x14ac:dyDescent="0.25">
      <c r="A84" s="1" t="s">
        <v>83</v>
      </c>
      <c r="B84">
        <v>724</v>
      </c>
      <c r="C84">
        <v>448</v>
      </c>
      <c r="D84">
        <v>903</v>
      </c>
      <c r="E84">
        <v>764</v>
      </c>
      <c r="F84">
        <v>729</v>
      </c>
      <c r="G84">
        <v>310</v>
      </c>
      <c r="H84">
        <v>338</v>
      </c>
      <c r="I84">
        <v>944</v>
      </c>
      <c r="J84">
        <v>878</v>
      </c>
      <c r="K84">
        <v>678</v>
      </c>
      <c r="L84">
        <v>766</v>
      </c>
      <c r="M84">
        <v>856</v>
      </c>
      <c r="N84">
        <v>402</v>
      </c>
      <c r="O84">
        <v>493</v>
      </c>
      <c r="P84">
        <v>927</v>
      </c>
      <c r="Q84">
        <v>570</v>
      </c>
      <c r="R84">
        <v>368</v>
      </c>
      <c r="S84">
        <v>358</v>
      </c>
      <c r="T84">
        <v>234</v>
      </c>
      <c r="U84">
        <v>824</v>
      </c>
      <c r="V84">
        <v>228</v>
      </c>
      <c r="W84">
        <v>918</v>
      </c>
      <c r="X84">
        <v>633</v>
      </c>
      <c r="Y84">
        <v>509</v>
      </c>
    </row>
    <row r="85" spans="1:25" x14ac:dyDescent="0.25">
      <c r="A85" s="1" t="s">
        <v>84</v>
      </c>
      <c r="B85">
        <v>456</v>
      </c>
      <c r="C85">
        <v>897</v>
      </c>
      <c r="D85">
        <v>447</v>
      </c>
      <c r="E85">
        <v>164</v>
      </c>
      <c r="F85">
        <v>774</v>
      </c>
      <c r="G85">
        <v>800</v>
      </c>
      <c r="H85">
        <v>991</v>
      </c>
      <c r="I85">
        <v>426</v>
      </c>
      <c r="J85">
        <v>415</v>
      </c>
      <c r="K85">
        <v>984</v>
      </c>
      <c r="L85">
        <v>269</v>
      </c>
      <c r="M85">
        <v>930</v>
      </c>
      <c r="N85">
        <v>598</v>
      </c>
      <c r="O85">
        <v>858</v>
      </c>
      <c r="P85">
        <v>673</v>
      </c>
      <c r="Q85">
        <v>564</v>
      </c>
      <c r="R85">
        <v>311</v>
      </c>
      <c r="S85">
        <v>840</v>
      </c>
      <c r="T85">
        <v>574</v>
      </c>
      <c r="U85">
        <v>354</v>
      </c>
      <c r="V85">
        <v>596</v>
      </c>
      <c r="W85">
        <v>502</v>
      </c>
      <c r="X85">
        <v>894</v>
      </c>
      <c r="Y85">
        <v>365</v>
      </c>
    </row>
    <row r="86" spans="1:25" x14ac:dyDescent="0.25">
      <c r="A86" s="1" t="s">
        <v>85</v>
      </c>
      <c r="B86">
        <v>214</v>
      </c>
      <c r="C86">
        <v>227</v>
      </c>
      <c r="D86">
        <v>229</v>
      </c>
      <c r="E86">
        <v>771</v>
      </c>
      <c r="F86">
        <v>884</v>
      </c>
      <c r="G86">
        <v>310</v>
      </c>
      <c r="H86">
        <v>771</v>
      </c>
      <c r="I86">
        <v>469</v>
      </c>
      <c r="J86">
        <v>786</v>
      </c>
      <c r="K86">
        <v>338</v>
      </c>
      <c r="L86">
        <v>697</v>
      </c>
      <c r="M86">
        <v>629</v>
      </c>
      <c r="N86">
        <v>193</v>
      </c>
      <c r="O86">
        <v>538</v>
      </c>
      <c r="P86">
        <v>897</v>
      </c>
      <c r="Q86">
        <v>1000</v>
      </c>
      <c r="R86">
        <v>879</v>
      </c>
      <c r="S86">
        <v>244</v>
      </c>
      <c r="T86">
        <v>371</v>
      </c>
      <c r="U86">
        <v>183</v>
      </c>
      <c r="V86">
        <v>831</v>
      </c>
      <c r="W86">
        <v>688</v>
      </c>
      <c r="X86">
        <v>302</v>
      </c>
      <c r="Y86">
        <v>934</v>
      </c>
    </row>
    <row r="87" spans="1:25" x14ac:dyDescent="0.25">
      <c r="A87" s="1" t="s">
        <v>86</v>
      </c>
      <c r="B87">
        <v>938</v>
      </c>
      <c r="C87">
        <v>693</v>
      </c>
      <c r="D87">
        <v>349</v>
      </c>
      <c r="E87">
        <v>985</v>
      </c>
      <c r="F87">
        <v>769</v>
      </c>
      <c r="G87">
        <v>128</v>
      </c>
      <c r="H87">
        <v>569</v>
      </c>
      <c r="I87">
        <v>321</v>
      </c>
      <c r="J87">
        <v>740</v>
      </c>
      <c r="K87">
        <v>501</v>
      </c>
      <c r="L87">
        <v>213</v>
      </c>
      <c r="M87">
        <v>338</v>
      </c>
      <c r="N87">
        <v>350</v>
      </c>
      <c r="O87">
        <v>706</v>
      </c>
      <c r="P87">
        <v>299</v>
      </c>
      <c r="Q87">
        <v>907</v>
      </c>
      <c r="R87">
        <v>793</v>
      </c>
      <c r="S87">
        <v>291</v>
      </c>
      <c r="T87">
        <v>444</v>
      </c>
      <c r="U87">
        <v>628</v>
      </c>
      <c r="V87">
        <v>787</v>
      </c>
      <c r="W87">
        <v>997</v>
      </c>
      <c r="X87">
        <v>624</v>
      </c>
      <c r="Y87">
        <v>923</v>
      </c>
    </row>
    <row r="88" spans="1:25" x14ac:dyDescent="0.25">
      <c r="A88" s="1" t="s">
        <v>87</v>
      </c>
      <c r="B88">
        <v>231</v>
      </c>
      <c r="C88">
        <v>870</v>
      </c>
      <c r="D88">
        <v>364</v>
      </c>
      <c r="E88">
        <v>189</v>
      </c>
      <c r="F88">
        <v>872</v>
      </c>
      <c r="G88">
        <v>630</v>
      </c>
      <c r="H88">
        <v>390</v>
      </c>
      <c r="I88">
        <v>829</v>
      </c>
      <c r="J88">
        <v>690</v>
      </c>
      <c r="K88">
        <v>403</v>
      </c>
      <c r="L88">
        <v>551</v>
      </c>
      <c r="M88">
        <v>248</v>
      </c>
      <c r="N88">
        <v>868</v>
      </c>
      <c r="O88">
        <v>532</v>
      </c>
      <c r="P88">
        <v>780</v>
      </c>
      <c r="Q88">
        <v>498</v>
      </c>
      <c r="R88">
        <v>989</v>
      </c>
      <c r="S88">
        <v>150</v>
      </c>
      <c r="T88">
        <v>714</v>
      </c>
      <c r="U88">
        <v>699</v>
      </c>
      <c r="V88">
        <v>261</v>
      </c>
      <c r="W88">
        <v>323</v>
      </c>
      <c r="X88">
        <v>801</v>
      </c>
      <c r="Y88">
        <v>289</v>
      </c>
    </row>
    <row r="89" spans="1:25" x14ac:dyDescent="0.25">
      <c r="A89" s="1" t="s">
        <v>88</v>
      </c>
      <c r="B89">
        <v>408</v>
      </c>
      <c r="C89">
        <v>546</v>
      </c>
      <c r="D89">
        <v>335</v>
      </c>
      <c r="E89">
        <v>510</v>
      </c>
      <c r="F89">
        <v>954</v>
      </c>
      <c r="G89">
        <v>398</v>
      </c>
      <c r="H89">
        <v>542</v>
      </c>
      <c r="I89">
        <v>441</v>
      </c>
      <c r="J89">
        <v>871</v>
      </c>
      <c r="K89">
        <v>120</v>
      </c>
      <c r="L89">
        <v>131</v>
      </c>
      <c r="M89">
        <v>915</v>
      </c>
      <c r="N89">
        <v>297</v>
      </c>
      <c r="O89">
        <v>597</v>
      </c>
      <c r="P89">
        <v>195</v>
      </c>
      <c r="Q89">
        <v>827</v>
      </c>
      <c r="R89">
        <v>621</v>
      </c>
      <c r="S89">
        <v>220</v>
      </c>
      <c r="T89">
        <v>694</v>
      </c>
      <c r="U89">
        <v>273</v>
      </c>
      <c r="V89">
        <v>713</v>
      </c>
      <c r="W89">
        <v>933</v>
      </c>
      <c r="X89">
        <v>847</v>
      </c>
      <c r="Y89">
        <v>915</v>
      </c>
    </row>
    <row r="90" spans="1:25" x14ac:dyDescent="0.25">
      <c r="A90" s="1" t="s">
        <v>89</v>
      </c>
      <c r="B90">
        <v>652</v>
      </c>
      <c r="C90">
        <v>896</v>
      </c>
      <c r="D90">
        <v>258</v>
      </c>
      <c r="E90">
        <v>408</v>
      </c>
      <c r="F90">
        <v>864</v>
      </c>
      <c r="G90">
        <v>874</v>
      </c>
      <c r="H90">
        <v>280</v>
      </c>
      <c r="I90">
        <v>553</v>
      </c>
      <c r="J90">
        <v>850</v>
      </c>
      <c r="K90">
        <v>696</v>
      </c>
      <c r="L90">
        <v>957</v>
      </c>
      <c r="M90">
        <v>556</v>
      </c>
      <c r="N90">
        <v>876</v>
      </c>
      <c r="O90">
        <v>739</v>
      </c>
      <c r="P90">
        <v>628</v>
      </c>
      <c r="Q90">
        <v>759</v>
      </c>
      <c r="R90">
        <v>970</v>
      </c>
      <c r="S90">
        <v>937</v>
      </c>
      <c r="T90">
        <v>743</v>
      </c>
      <c r="U90">
        <v>834</v>
      </c>
      <c r="V90">
        <v>899</v>
      </c>
      <c r="W90">
        <v>153</v>
      </c>
      <c r="X90">
        <v>489</v>
      </c>
      <c r="Y90">
        <v>509</v>
      </c>
    </row>
    <row r="91" spans="1:25" x14ac:dyDescent="0.25">
      <c r="A91" s="1" t="s">
        <v>90</v>
      </c>
      <c r="B91">
        <v>888</v>
      </c>
      <c r="C91">
        <v>786</v>
      </c>
      <c r="D91">
        <v>426</v>
      </c>
      <c r="E91">
        <v>414</v>
      </c>
      <c r="F91">
        <v>476</v>
      </c>
      <c r="G91">
        <v>739</v>
      </c>
      <c r="H91">
        <v>386</v>
      </c>
      <c r="I91">
        <v>535</v>
      </c>
      <c r="J91">
        <v>246</v>
      </c>
      <c r="K91">
        <v>185</v>
      </c>
      <c r="L91">
        <v>683</v>
      </c>
      <c r="M91">
        <v>794</v>
      </c>
      <c r="N91">
        <v>538</v>
      </c>
      <c r="O91">
        <v>871</v>
      </c>
      <c r="P91">
        <v>955</v>
      </c>
      <c r="Q91">
        <v>551</v>
      </c>
      <c r="R91">
        <v>492</v>
      </c>
      <c r="S91">
        <v>622</v>
      </c>
      <c r="T91">
        <v>560</v>
      </c>
      <c r="U91">
        <v>132</v>
      </c>
      <c r="V91">
        <v>587</v>
      </c>
      <c r="W91">
        <v>955</v>
      </c>
      <c r="X91">
        <v>543</v>
      </c>
      <c r="Y91">
        <v>101</v>
      </c>
    </row>
    <row r="92" spans="1:25" x14ac:dyDescent="0.25">
      <c r="A92" s="1" t="s">
        <v>91</v>
      </c>
      <c r="B92">
        <v>819</v>
      </c>
      <c r="C92">
        <v>203</v>
      </c>
      <c r="D92">
        <v>548</v>
      </c>
      <c r="E92">
        <v>722</v>
      </c>
      <c r="F92">
        <v>718</v>
      </c>
      <c r="G92">
        <v>220</v>
      </c>
      <c r="H92">
        <v>912</v>
      </c>
      <c r="I92">
        <v>286</v>
      </c>
      <c r="J92">
        <v>590</v>
      </c>
      <c r="K92">
        <v>723</v>
      </c>
      <c r="L92">
        <v>323</v>
      </c>
      <c r="M92">
        <v>759</v>
      </c>
      <c r="N92">
        <v>412</v>
      </c>
      <c r="O92">
        <v>521</v>
      </c>
      <c r="P92">
        <v>287</v>
      </c>
      <c r="Q92">
        <v>678</v>
      </c>
      <c r="R92">
        <v>774</v>
      </c>
      <c r="S92">
        <v>953</v>
      </c>
      <c r="T92">
        <v>683</v>
      </c>
      <c r="U92">
        <v>248</v>
      </c>
      <c r="V92">
        <v>538</v>
      </c>
      <c r="W92">
        <v>278</v>
      </c>
      <c r="X92">
        <v>411</v>
      </c>
      <c r="Y92">
        <v>428</v>
      </c>
    </row>
    <row r="93" spans="1:25" x14ac:dyDescent="0.25">
      <c r="A93" s="1" t="s">
        <v>92</v>
      </c>
      <c r="B93">
        <v>287</v>
      </c>
      <c r="C93">
        <v>934</v>
      </c>
      <c r="D93">
        <v>147</v>
      </c>
      <c r="E93">
        <v>739</v>
      </c>
      <c r="F93">
        <v>177</v>
      </c>
      <c r="G93">
        <v>252</v>
      </c>
      <c r="H93">
        <v>675</v>
      </c>
      <c r="I93">
        <v>804</v>
      </c>
      <c r="J93">
        <v>497</v>
      </c>
      <c r="K93">
        <v>152</v>
      </c>
      <c r="L93">
        <v>889</v>
      </c>
      <c r="M93">
        <v>953</v>
      </c>
      <c r="N93">
        <v>736</v>
      </c>
      <c r="O93">
        <v>154</v>
      </c>
      <c r="P93">
        <v>622</v>
      </c>
      <c r="Q93">
        <v>968</v>
      </c>
      <c r="R93">
        <v>380</v>
      </c>
      <c r="S93">
        <v>780</v>
      </c>
      <c r="T93">
        <v>955</v>
      </c>
      <c r="U93">
        <v>653</v>
      </c>
      <c r="V93">
        <v>993</v>
      </c>
      <c r="W93">
        <v>353</v>
      </c>
      <c r="X93">
        <v>643</v>
      </c>
      <c r="Y93">
        <v>286</v>
      </c>
    </row>
    <row r="94" spans="1:25" x14ac:dyDescent="0.25">
      <c r="A94" s="1" t="s">
        <v>93</v>
      </c>
      <c r="B94">
        <v>287</v>
      </c>
      <c r="C94">
        <v>480</v>
      </c>
      <c r="D94">
        <v>868</v>
      </c>
      <c r="E94">
        <v>901</v>
      </c>
      <c r="F94">
        <v>252</v>
      </c>
      <c r="G94">
        <v>991</v>
      </c>
      <c r="H94">
        <v>721</v>
      </c>
      <c r="I94">
        <v>716</v>
      </c>
      <c r="J94">
        <v>342</v>
      </c>
      <c r="K94">
        <v>472</v>
      </c>
      <c r="L94">
        <v>930</v>
      </c>
      <c r="M94">
        <v>401</v>
      </c>
      <c r="N94">
        <v>999</v>
      </c>
      <c r="O94">
        <v>576</v>
      </c>
      <c r="P94">
        <v>216</v>
      </c>
      <c r="Q94">
        <v>155</v>
      </c>
      <c r="R94">
        <v>369</v>
      </c>
      <c r="S94">
        <v>812</v>
      </c>
      <c r="T94">
        <v>795</v>
      </c>
      <c r="U94">
        <v>435</v>
      </c>
      <c r="V94">
        <v>183</v>
      </c>
      <c r="W94">
        <v>595</v>
      </c>
      <c r="X94">
        <v>859</v>
      </c>
      <c r="Y94">
        <v>186</v>
      </c>
    </row>
    <row r="95" spans="1:25" x14ac:dyDescent="0.25">
      <c r="A95" s="1" t="s">
        <v>94</v>
      </c>
      <c r="B95">
        <v>617</v>
      </c>
      <c r="C95">
        <v>591</v>
      </c>
      <c r="D95">
        <v>170</v>
      </c>
      <c r="E95">
        <v>772</v>
      </c>
      <c r="F95">
        <v>107</v>
      </c>
      <c r="G95">
        <v>691</v>
      </c>
      <c r="H95">
        <v>608</v>
      </c>
      <c r="I95">
        <v>612</v>
      </c>
      <c r="J95">
        <v>911</v>
      </c>
      <c r="K95">
        <v>109</v>
      </c>
      <c r="L95">
        <v>326</v>
      </c>
      <c r="M95">
        <v>812</v>
      </c>
      <c r="N95">
        <v>748</v>
      </c>
      <c r="O95">
        <v>133</v>
      </c>
      <c r="P95">
        <v>444</v>
      </c>
      <c r="Q95">
        <v>946</v>
      </c>
      <c r="R95">
        <v>637</v>
      </c>
      <c r="S95">
        <v>594</v>
      </c>
      <c r="T95">
        <v>511</v>
      </c>
      <c r="U95">
        <v>114</v>
      </c>
      <c r="V95">
        <v>345</v>
      </c>
      <c r="W95">
        <v>803</v>
      </c>
      <c r="X95">
        <v>506</v>
      </c>
      <c r="Y95">
        <v>411</v>
      </c>
    </row>
    <row r="96" spans="1:25" x14ac:dyDescent="0.25">
      <c r="A96" s="1" t="s">
        <v>95</v>
      </c>
      <c r="B96">
        <v>609</v>
      </c>
      <c r="C96">
        <v>391</v>
      </c>
      <c r="D96">
        <v>313</v>
      </c>
      <c r="E96">
        <v>302</v>
      </c>
      <c r="F96">
        <v>222</v>
      </c>
      <c r="G96">
        <v>701</v>
      </c>
      <c r="H96">
        <v>851</v>
      </c>
      <c r="I96">
        <v>935</v>
      </c>
      <c r="J96">
        <v>462</v>
      </c>
      <c r="K96">
        <v>837</v>
      </c>
      <c r="L96">
        <v>168</v>
      </c>
      <c r="M96">
        <v>247</v>
      </c>
      <c r="N96">
        <v>683</v>
      </c>
      <c r="O96">
        <v>380</v>
      </c>
      <c r="P96">
        <v>235</v>
      </c>
      <c r="Q96">
        <v>430</v>
      </c>
      <c r="R96">
        <v>846</v>
      </c>
      <c r="S96">
        <v>387</v>
      </c>
      <c r="T96">
        <v>605</v>
      </c>
      <c r="U96">
        <v>111</v>
      </c>
      <c r="V96">
        <v>379</v>
      </c>
      <c r="W96">
        <v>759</v>
      </c>
      <c r="X96">
        <v>611</v>
      </c>
      <c r="Y96">
        <v>423</v>
      </c>
    </row>
    <row r="97" spans="1:25" x14ac:dyDescent="0.25">
      <c r="A97" s="1" t="s">
        <v>96</v>
      </c>
      <c r="B97">
        <v>851</v>
      </c>
      <c r="C97">
        <v>865</v>
      </c>
      <c r="D97">
        <v>844</v>
      </c>
      <c r="E97">
        <v>457</v>
      </c>
      <c r="F97">
        <v>225</v>
      </c>
      <c r="G97">
        <v>696</v>
      </c>
      <c r="H97">
        <v>695</v>
      </c>
      <c r="I97">
        <v>688</v>
      </c>
      <c r="J97">
        <v>824</v>
      </c>
      <c r="K97">
        <v>196</v>
      </c>
      <c r="L97">
        <v>699</v>
      </c>
      <c r="M97">
        <v>941</v>
      </c>
      <c r="N97">
        <v>432</v>
      </c>
      <c r="O97">
        <v>400</v>
      </c>
      <c r="P97">
        <v>527</v>
      </c>
      <c r="Q97">
        <v>342</v>
      </c>
      <c r="R97">
        <v>695</v>
      </c>
      <c r="S97">
        <v>618</v>
      </c>
      <c r="T97">
        <v>335</v>
      </c>
      <c r="U97">
        <v>225</v>
      </c>
      <c r="V97">
        <v>643</v>
      </c>
      <c r="W97">
        <v>649</v>
      </c>
      <c r="X97">
        <v>893</v>
      </c>
      <c r="Y97">
        <v>505</v>
      </c>
    </row>
    <row r="98" spans="1:25" x14ac:dyDescent="0.25">
      <c r="A98" s="1" t="s">
        <v>97</v>
      </c>
      <c r="B98">
        <v>178</v>
      </c>
      <c r="C98">
        <v>271</v>
      </c>
      <c r="D98">
        <v>801</v>
      </c>
      <c r="E98">
        <v>805</v>
      </c>
      <c r="F98">
        <v>702</v>
      </c>
      <c r="G98">
        <v>124</v>
      </c>
      <c r="H98">
        <v>818</v>
      </c>
      <c r="I98">
        <v>930</v>
      </c>
      <c r="J98">
        <v>901</v>
      </c>
      <c r="K98">
        <v>767</v>
      </c>
      <c r="L98">
        <v>229</v>
      </c>
      <c r="M98">
        <v>259</v>
      </c>
      <c r="N98">
        <v>482</v>
      </c>
      <c r="O98">
        <v>726</v>
      </c>
      <c r="P98">
        <v>470</v>
      </c>
      <c r="Q98">
        <v>442</v>
      </c>
      <c r="R98">
        <v>953</v>
      </c>
      <c r="S98">
        <v>472</v>
      </c>
      <c r="T98">
        <v>969</v>
      </c>
      <c r="U98">
        <v>115</v>
      </c>
      <c r="V98">
        <v>984</v>
      </c>
      <c r="W98">
        <v>329</v>
      </c>
      <c r="X98">
        <v>249</v>
      </c>
      <c r="Y98">
        <v>168</v>
      </c>
    </row>
    <row r="99" spans="1:25" x14ac:dyDescent="0.25">
      <c r="A99" s="1" t="s">
        <v>98</v>
      </c>
      <c r="B99">
        <v>197</v>
      </c>
      <c r="C99">
        <v>990</v>
      </c>
      <c r="D99">
        <v>554</v>
      </c>
      <c r="E99">
        <v>334</v>
      </c>
      <c r="F99">
        <v>482</v>
      </c>
      <c r="G99">
        <v>774</v>
      </c>
      <c r="H99">
        <v>641</v>
      </c>
      <c r="I99">
        <v>691</v>
      </c>
      <c r="J99">
        <v>607</v>
      </c>
      <c r="K99">
        <v>363</v>
      </c>
      <c r="L99">
        <v>148</v>
      </c>
      <c r="M99">
        <v>732</v>
      </c>
      <c r="N99">
        <v>844</v>
      </c>
      <c r="O99">
        <v>208</v>
      </c>
      <c r="P99">
        <v>405</v>
      </c>
      <c r="Q99">
        <v>146</v>
      </c>
      <c r="R99">
        <v>910</v>
      </c>
      <c r="S99">
        <v>527</v>
      </c>
      <c r="T99">
        <v>481</v>
      </c>
      <c r="U99">
        <v>898</v>
      </c>
      <c r="V99">
        <v>924</v>
      </c>
      <c r="W99">
        <v>707</v>
      </c>
      <c r="X99">
        <v>520</v>
      </c>
      <c r="Y99">
        <v>684</v>
      </c>
    </row>
    <row r="100" spans="1:25" x14ac:dyDescent="0.25">
      <c r="A100" s="1" t="s">
        <v>99</v>
      </c>
      <c r="B100">
        <v>456</v>
      </c>
      <c r="C100">
        <v>897</v>
      </c>
      <c r="D100">
        <v>670</v>
      </c>
      <c r="E100">
        <v>524</v>
      </c>
      <c r="F100">
        <v>551</v>
      </c>
      <c r="G100">
        <v>885</v>
      </c>
      <c r="H100">
        <v>386</v>
      </c>
      <c r="I100">
        <v>818</v>
      </c>
      <c r="J100">
        <v>439</v>
      </c>
      <c r="K100">
        <v>983</v>
      </c>
      <c r="L100">
        <v>909</v>
      </c>
      <c r="M100">
        <v>911</v>
      </c>
      <c r="N100">
        <v>693</v>
      </c>
      <c r="O100">
        <v>889</v>
      </c>
      <c r="P100">
        <v>824</v>
      </c>
      <c r="Q100">
        <v>744</v>
      </c>
      <c r="R100">
        <v>653</v>
      </c>
      <c r="S100">
        <v>195</v>
      </c>
      <c r="T100">
        <v>988</v>
      </c>
      <c r="U100">
        <v>202</v>
      </c>
      <c r="V100">
        <v>201</v>
      </c>
      <c r="W100">
        <v>131</v>
      </c>
      <c r="X100">
        <v>933</v>
      </c>
      <c r="Y100">
        <v>889</v>
      </c>
    </row>
    <row r="101" spans="1:25" x14ac:dyDescent="0.25">
      <c r="A101" s="1" t="s">
        <v>100</v>
      </c>
      <c r="B101">
        <v>470</v>
      </c>
      <c r="C101">
        <v>582</v>
      </c>
      <c r="D101">
        <v>388</v>
      </c>
      <c r="E101">
        <v>888</v>
      </c>
      <c r="F101">
        <v>334</v>
      </c>
      <c r="G101">
        <v>283</v>
      </c>
      <c r="H101">
        <v>499</v>
      </c>
      <c r="I101">
        <v>380</v>
      </c>
      <c r="J101">
        <v>827</v>
      </c>
      <c r="K101">
        <v>285</v>
      </c>
      <c r="L101">
        <v>838</v>
      </c>
      <c r="M101">
        <v>606</v>
      </c>
      <c r="N101">
        <v>740</v>
      </c>
      <c r="O101">
        <v>276</v>
      </c>
      <c r="P101">
        <v>335</v>
      </c>
      <c r="Q101">
        <v>232</v>
      </c>
      <c r="R101">
        <v>195</v>
      </c>
      <c r="S101">
        <v>914</v>
      </c>
      <c r="T101">
        <v>540</v>
      </c>
      <c r="U101">
        <v>704</v>
      </c>
      <c r="V101">
        <v>323</v>
      </c>
      <c r="W101">
        <v>533</v>
      </c>
      <c r="X101">
        <v>596</v>
      </c>
      <c r="Y101">
        <v>535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B4A5-2CEF-4ADE-AC2C-92C40A1F17D3}">
  <sheetPr codeName="Лист13"/>
  <dimension ref="B1:D18"/>
  <sheetViews>
    <sheetView zoomScale="140" zoomScaleNormal="140" workbookViewId="0">
      <selection activeCell="E6" sqref="E6"/>
    </sheetView>
  </sheetViews>
  <sheetFormatPr defaultRowHeight="15" x14ac:dyDescent="0.25"/>
  <cols>
    <col min="2" max="2" width="13.42578125" customWidth="1"/>
    <col min="4" max="4" width="11.85546875" customWidth="1"/>
  </cols>
  <sheetData>
    <row r="1" spans="2:4" x14ac:dyDescent="0.25">
      <c r="B1" s="1" t="s">
        <v>111</v>
      </c>
      <c r="D1" s="1" t="s">
        <v>150</v>
      </c>
    </row>
    <row r="2" spans="2:4" x14ac:dyDescent="0.25">
      <c r="B2" s="4">
        <v>45901</v>
      </c>
      <c r="D2" s="4">
        <v>45901</v>
      </c>
    </row>
    <row r="3" spans="2:4" x14ac:dyDescent="0.25">
      <c r="B3" s="4"/>
    </row>
    <row r="4" spans="2:4" x14ac:dyDescent="0.25">
      <c r="B4" s="4"/>
    </row>
    <row r="5" spans="2:4" x14ac:dyDescent="0.25">
      <c r="B5" s="4"/>
    </row>
    <row r="6" spans="2:4" x14ac:dyDescent="0.25">
      <c r="B6" s="4"/>
    </row>
    <row r="7" spans="2:4" x14ac:dyDescent="0.25">
      <c r="B7" s="4"/>
    </row>
    <row r="8" spans="2:4" x14ac:dyDescent="0.25">
      <c r="B8" s="4"/>
    </row>
    <row r="9" spans="2:4" x14ac:dyDescent="0.25">
      <c r="B9" s="4"/>
    </row>
    <row r="10" spans="2:4" x14ac:dyDescent="0.25">
      <c r="B10" s="4"/>
    </row>
    <row r="11" spans="2:4" x14ac:dyDescent="0.25">
      <c r="B11" s="4"/>
    </row>
    <row r="12" spans="2:4" x14ac:dyDescent="0.25">
      <c r="B12" s="4"/>
    </row>
    <row r="13" spans="2:4" x14ac:dyDescent="0.25">
      <c r="B13" s="4"/>
    </row>
    <row r="14" spans="2:4" x14ac:dyDescent="0.25">
      <c r="B14" s="4"/>
    </row>
    <row r="15" spans="2:4" x14ac:dyDescent="0.25">
      <c r="B15" s="4"/>
    </row>
    <row r="16" spans="2:4" x14ac:dyDescent="0.25">
      <c r="B16" s="4"/>
    </row>
    <row r="17" spans="2:2" x14ac:dyDescent="0.25">
      <c r="B17" s="4"/>
    </row>
    <row r="18" spans="2:2" x14ac:dyDescent="0.25">
      <c r="B1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1F28-C978-44AE-91F0-A863A14C8D16}">
  <sheetPr codeName="Лист15"/>
  <dimension ref="A1:G10"/>
  <sheetViews>
    <sheetView topLeftCell="D1" zoomScale="140" zoomScaleNormal="140" workbookViewId="0">
      <selection activeCell="D1" sqref="D1:G10"/>
    </sheetView>
  </sheetViews>
  <sheetFormatPr defaultRowHeight="15" x14ac:dyDescent="0.25"/>
  <cols>
    <col min="1" max="1" width="6.28515625" bestFit="1" customWidth="1"/>
    <col min="2" max="2" width="11.28515625" customWidth="1"/>
    <col min="3" max="3" width="18.7109375" bestFit="1" customWidth="1"/>
    <col min="4" max="4" width="10.7109375" bestFit="1" customWidth="1"/>
    <col min="5" max="5" width="12.42578125" customWidth="1"/>
    <col min="6" max="6" width="11" customWidth="1"/>
    <col min="7" max="7" width="15.85546875" bestFit="1" customWidth="1"/>
    <col min="10" max="10" width="20" customWidth="1"/>
    <col min="11" max="11" width="11.28515625" customWidth="1"/>
    <col min="12" max="12" width="18.7109375" bestFit="1" customWidth="1"/>
    <col min="13" max="13" width="10.7109375" bestFit="1" customWidth="1"/>
    <col min="14" max="14" width="18.5703125" customWidth="1"/>
    <col min="15" max="15" width="11" customWidth="1"/>
    <col min="16" max="16" width="15.85546875" bestFit="1" customWidth="1"/>
  </cols>
  <sheetData>
    <row r="1" spans="1:7" x14ac:dyDescent="0.25">
      <c r="A1" s="13" t="s">
        <v>109</v>
      </c>
      <c r="B1" s="13" t="s">
        <v>101</v>
      </c>
      <c r="C1" s="13" t="s">
        <v>110</v>
      </c>
      <c r="D1" s="9" t="s">
        <v>133</v>
      </c>
      <c r="E1" s="8" t="s">
        <v>134</v>
      </c>
      <c r="F1" s="23" t="s">
        <v>135</v>
      </c>
      <c r="G1" s="24" t="s">
        <v>136</v>
      </c>
    </row>
    <row r="2" spans="1:7" x14ac:dyDescent="0.25">
      <c r="A2" s="14">
        <v>101</v>
      </c>
      <c r="B2" s="30" t="s">
        <v>105</v>
      </c>
      <c r="C2" s="22">
        <v>43732</v>
      </c>
      <c r="D2" s="10">
        <v>1755</v>
      </c>
      <c r="E2" s="6">
        <v>1053</v>
      </c>
      <c r="F2" s="25">
        <f>D2-E2</f>
        <v>702</v>
      </c>
      <c r="G2" s="26">
        <f>F2/E2</f>
        <v>0.66666666666666663</v>
      </c>
    </row>
    <row r="3" spans="1:7" x14ac:dyDescent="0.25">
      <c r="A3" s="14">
        <v>102</v>
      </c>
      <c r="B3" s="30" t="s">
        <v>106</v>
      </c>
      <c r="C3" s="22">
        <v>43732</v>
      </c>
      <c r="D3" s="10">
        <v>2880</v>
      </c>
      <c r="E3" s="6">
        <v>2304</v>
      </c>
      <c r="F3" s="25">
        <f t="shared" ref="F3:F10" si="0">D3-E3</f>
        <v>576</v>
      </c>
      <c r="G3" s="26">
        <f t="shared" ref="G3:G10" si="1">F3/E3</f>
        <v>0.25</v>
      </c>
    </row>
    <row r="4" spans="1:7" x14ac:dyDescent="0.25">
      <c r="A4" s="14">
        <v>103</v>
      </c>
      <c r="B4" s="21" t="s">
        <v>102</v>
      </c>
      <c r="C4" s="22">
        <v>43737</v>
      </c>
      <c r="D4" s="10">
        <v>1650</v>
      </c>
      <c r="E4" s="6">
        <v>990</v>
      </c>
      <c r="F4" s="25">
        <f t="shared" si="0"/>
        <v>660</v>
      </c>
      <c r="G4" s="26">
        <f t="shared" si="1"/>
        <v>0.66666666666666663</v>
      </c>
    </row>
    <row r="5" spans="1:7" x14ac:dyDescent="0.25">
      <c r="A5" s="14">
        <v>104</v>
      </c>
      <c r="B5" s="21" t="s">
        <v>104</v>
      </c>
      <c r="C5" s="22">
        <v>43737</v>
      </c>
      <c r="D5" s="10">
        <v>3000</v>
      </c>
      <c r="E5" s="6">
        <v>2400</v>
      </c>
      <c r="F5" s="25">
        <f t="shared" si="0"/>
        <v>600</v>
      </c>
      <c r="G5" s="26">
        <f t="shared" si="1"/>
        <v>0.25</v>
      </c>
    </row>
    <row r="6" spans="1:7" x14ac:dyDescent="0.25">
      <c r="A6" s="14">
        <v>105</v>
      </c>
      <c r="B6" s="21" t="s">
        <v>103</v>
      </c>
      <c r="C6" s="22">
        <v>43741</v>
      </c>
      <c r="D6" s="10">
        <v>2340</v>
      </c>
      <c r="E6" s="6">
        <v>1872</v>
      </c>
      <c r="F6" s="25">
        <f t="shared" si="0"/>
        <v>468</v>
      </c>
      <c r="G6" s="26">
        <f t="shared" si="1"/>
        <v>0.25</v>
      </c>
    </row>
    <row r="7" spans="1:7" x14ac:dyDescent="0.25">
      <c r="A7" s="14">
        <v>106</v>
      </c>
      <c r="B7" s="21" t="s">
        <v>107</v>
      </c>
      <c r="C7" s="22">
        <v>43741</v>
      </c>
      <c r="D7" s="10">
        <v>830</v>
      </c>
      <c r="E7" s="6">
        <v>420</v>
      </c>
      <c r="F7" s="25">
        <f t="shared" si="0"/>
        <v>410</v>
      </c>
      <c r="G7" s="26">
        <f t="shared" si="1"/>
        <v>0.97619047619047616</v>
      </c>
    </row>
    <row r="8" spans="1:7" x14ac:dyDescent="0.25">
      <c r="A8" s="14">
        <v>107</v>
      </c>
      <c r="B8" s="21" t="s">
        <v>103</v>
      </c>
      <c r="C8" s="22">
        <v>43748</v>
      </c>
      <c r="D8" s="10">
        <v>900</v>
      </c>
      <c r="E8" s="7">
        <v>450</v>
      </c>
      <c r="F8" s="25">
        <f t="shared" si="0"/>
        <v>450</v>
      </c>
      <c r="G8" s="26">
        <f t="shared" si="1"/>
        <v>1</v>
      </c>
    </row>
    <row r="9" spans="1:7" x14ac:dyDescent="0.25">
      <c r="A9" s="14">
        <v>108</v>
      </c>
      <c r="B9" s="21" t="s">
        <v>103</v>
      </c>
      <c r="C9" s="22">
        <v>43749</v>
      </c>
      <c r="D9" s="10">
        <v>1305</v>
      </c>
      <c r="E9" s="7">
        <v>783</v>
      </c>
      <c r="F9" s="25">
        <f t="shared" si="0"/>
        <v>522</v>
      </c>
      <c r="G9" s="26">
        <f t="shared" si="1"/>
        <v>0.66666666666666663</v>
      </c>
    </row>
    <row r="10" spans="1:7" x14ac:dyDescent="0.25">
      <c r="A10" s="14">
        <v>109</v>
      </c>
      <c r="B10" s="21" t="s">
        <v>105</v>
      </c>
      <c r="C10" s="22">
        <v>43787</v>
      </c>
      <c r="D10" s="10">
        <v>330</v>
      </c>
      <c r="E10" s="7">
        <v>180</v>
      </c>
      <c r="F10" s="25">
        <f t="shared" si="0"/>
        <v>150</v>
      </c>
      <c r="G10" s="26">
        <f t="shared" si="1"/>
        <v>0.83333333333333337</v>
      </c>
    </row>
  </sheetData>
  <hyperlinks>
    <hyperlink ref="B2" r:id="rId1" xr:uid="{A98D0FD1-B9F3-4DE7-8F1E-5122F46E8036}"/>
    <hyperlink ref="B3" r:id="rId2" xr:uid="{66651B5E-95B5-4194-95B1-954A1A99C7B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E6F3-2F92-4679-9D1F-5B7525FBF725}">
  <dimension ref="A2:A8"/>
  <sheetViews>
    <sheetView workbookViewId="0">
      <selection activeCell="B27" sqref="B27"/>
    </sheetView>
  </sheetViews>
  <sheetFormatPr defaultRowHeight="15" x14ac:dyDescent="0.25"/>
  <cols>
    <col min="1" max="1" width="43.28515625" customWidth="1"/>
    <col min="2" max="4" width="16.7109375" customWidth="1"/>
  </cols>
  <sheetData>
    <row r="2" spans="1:1" x14ac:dyDescent="0.25">
      <c r="A2" s="31" t="s">
        <v>151</v>
      </c>
    </row>
    <row r="3" spans="1:1" x14ac:dyDescent="0.25">
      <c r="A3" s="31" t="s">
        <v>152</v>
      </c>
    </row>
    <row r="4" spans="1:1" x14ac:dyDescent="0.25">
      <c r="A4" s="31" t="s">
        <v>153</v>
      </c>
    </row>
    <row r="5" spans="1:1" x14ac:dyDescent="0.25">
      <c r="A5" s="31" t="s">
        <v>154</v>
      </c>
    </row>
    <row r="6" spans="1:1" x14ac:dyDescent="0.25">
      <c r="A6" s="31" t="s">
        <v>155</v>
      </c>
    </row>
    <row r="7" spans="1:1" x14ac:dyDescent="0.25">
      <c r="A7" s="31" t="s">
        <v>156</v>
      </c>
    </row>
    <row r="8" spans="1:1" x14ac:dyDescent="0.25">
      <c r="A8" s="31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6B1F5-F0D7-4B0C-B44E-7B60C94E7BA9}">
  <sheetPr codeName="Лист14"/>
  <dimension ref="A1:F10"/>
  <sheetViews>
    <sheetView zoomScale="140" zoomScaleNormal="140" workbookViewId="0">
      <selection activeCell="A2" sqref="A2:B8"/>
    </sheetView>
  </sheetViews>
  <sheetFormatPr defaultRowHeight="15" x14ac:dyDescent="0.25"/>
  <cols>
    <col min="1" max="1" width="34.28515625" bestFit="1" customWidth="1"/>
    <col min="2" max="2" width="12.28515625" bestFit="1" customWidth="1"/>
    <col min="3" max="3" width="13.28515625" customWidth="1"/>
    <col min="4" max="4" width="21.7109375" bestFit="1" customWidth="1"/>
    <col min="5" max="5" width="56.7109375" bestFit="1" customWidth="1"/>
  </cols>
  <sheetData>
    <row r="1" spans="1:6" x14ac:dyDescent="0.25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</row>
    <row r="2" spans="1:6" x14ac:dyDescent="0.25">
      <c r="A2" s="3" t="s">
        <v>126</v>
      </c>
      <c r="B2" s="3" t="s">
        <v>117</v>
      </c>
      <c r="C2" s="5" t="str">
        <f>LEFT(A2,FIND(" ",A2)-1)</f>
        <v>Александр</v>
      </c>
      <c r="D2" s="5" t="s">
        <v>124</v>
      </c>
      <c r="E2" s="5" t="s">
        <v>125</v>
      </c>
      <c r="F2" s="28" t="s">
        <v>144</v>
      </c>
    </row>
    <row r="3" spans="1:6" x14ac:dyDescent="0.25">
      <c r="A3" s="3" t="s">
        <v>127</v>
      </c>
      <c r="B3" s="3" t="s">
        <v>118</v>
      </c>
      <c r="C3" s="5"/>
      <c r="D3" s="5"/>
      <c r="E3" s="5"/>
      <c r="F3" s="28"/>
    </row>
    <row r="4" spans="1:6" x14ac:dyDescent="0.25">
      <c r="A4" s="3" t="s">
        <v>128</v>
      </c>
      <c r="B4" s="3" t="s">
        <v>119</v>
      </c>
      <c r="C4" s="5"/>
      <c r="D4" s="5"/>
      <c r="E4" s="5"/>
      <c r="F4" s="28"/>
    </row>
    <row r="5" spans="1:6" x14ac:dyDescent="0.25">
      <c r="A5" s="3" t="s">
        <v>129</v>
      </c>
      <c r="B5" s="3" t="s">
        <v>120</v>
      </c>
      <c r="C5" s="5"/>
      <c r="D5" s="5"/>
      <c r="E5" s="5"/>
      <c r="F5" s="28"/>
    </row>
    <row r="6" spans="1:6" x14ac:dyDescent="0.25">
      <c r="A6" s="3" t="s">
        <v>130</v>
      </c>
      <c r="B6" s="3" t="s">
        <v>121</v>
      </c>
      <c r="C6" s="5"/>
      <c r="D6" s="5"/>
      <c r="E6" s="5"/>
      <c r="F6" s="28"/>
    </row>
    <row r="7" spans="1:6" x14ac:dyDescent="0.25">
      <c r="A7" s="3" t="s">
        <v>131</v>
      </c>
      <c r="B7" s="3" t="s">
        <v>122</v>
      </c>
      <c r="C7" s="5"/>
      <c r="D7" s="5"/>
      <c r="E7" s="5"/>
      <c r="F7" s="28"/>
    </row>
    <row r="8" spans="1:6" x14ac:dyDescent="0.25">
      <c r="A8" s="3" t="s">
        <v>132</v>
      </c>
      <c r="B8" s="3" t="s">
        <v>123</v>
      </c>
      <c r="C8" s="5"/>
      <c r="D8" s="5"/>
      <c r="E8" s="5"/>
      <c r="F8" s="28"/>
    </row>
    <row r="9" spans="1:6" x14ac:dyDescent="0.25">
      <c r="C9" s="29" t="s">
        <v>145</v>
      </c>
    </row>
    <row r="10" spans="1:6" x14ac:dyDescent="0.25">
      <c r="C10" s="29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B97E-0842-4D41-ACB6-D608A72F6EB1}">
  <dimension ref="A1:M15"/>
  <sheetViews>
    <sheetView workbookViewId="0">
      <selection sqref="A1:E15"/>
    </sheetView>
  </sheetViews>
  <sheetFormatPr defaultRowHeight="15" x14ac:dyDescent="0.25"/>
  <cols>
    <col min="5" max="5" width="17.5703125" customWidth="1"/>
  </cols>
  <sheetData>
    <row r="1" spans="1:13" x14ac:dyDescent="0.25">
      <c r="A1" s="32" t="s">
        <v>158</v>
      </c>
      <c r="B1" s="33" t="s">
        <v>133</v>
      </c>
      <c r="C1" s="34" t="s">
        <v>134</v>
      </c>
      <c r="D1" s="35" t="s">
        <v>135</v>
      </c>
      <c r="E1" s="34" t="s">
        <v>136</v>
      </c>
      <c r="K1" s="27" t="s">
        <v>159</v>
      </c>
      <c r="L1" s="27"/>
      <c r="M1" s="27"/>
    </row>
    <row r="2" spans="1:13" x14ac:dyDescent="0.25">
      <c r="A2" s="32">
        <v>1</v>
      </c>
      <c r="B2" s="36">
        <v>1755</v>
      </c>
      <c r="C2" s="37">
        <v>1053</v>
      </c>
      <c r="D2" s="38">
        <f t="shared" ref="D2:D11" si="0">B2-C2</f>
        <v>702</v>
      </c>
      <c r="E2" s="39">
        <f t="shared" ref="E2:E15" si="1">D2/C2</f>
        <v>0.66666666666666663</v>
      </c>
      <c r="K2" t="s">
        <v>161</v>
      </c>
    </row>
    <row r="3" spans="1:13" x14ac:dyDescent="0.25">
      <c r="A3" s="32">
        <v>2</v>
      </c>
      <c r="B3" s="36">
        <v>2880</v>
      </c>
      <c r="C3" s="37">
        <v>2304</v>
      </c>
      <c r="D3" s="38">
        <f t="shared" si="0"/>
        <v>576</v>
      </c>
      <c r="E3" s="39">
        <f t="shared" si="1"/>
        <v>0.25</v>
      </c>
      <c r="K3" t="s">
        <v>160</v>
      </c>
    </row>
    <row r="4" spans="1:13" x14ac:dyDescent="0.25">
      <c r="A4" s="46">
        <v>3</v>
      </c>
      <c r="B4" s="40">
        <v>2880</v>
      </c>
      <c r="C4" s="41">
        <v>2304</v>
      </c>
      <c r="D4" s="42">
        <f t="shared" si="0"/>
        <v>576</v>
      </c>
      <c r="E4" s="43">
        <f t="shared" si="1"/>
        <v>0.25</v>
      </c>
    </row>
    <row r="5" spans="1:13" x14ac:dyDescent="0.25">
      <c r="A5" s="32">
        <v>4</v>
      </c>
      <c r="B5" s="36">
        <v>1650</v>
      </c>
      <c r="C5" s="37">
        <v>990</v>
      </c>
      <c r="D5" s="38">
        <f t="shared" si="0"/>
        <v>660</v>
      </c>
      <c r="E5" s="39">
        <f t="shared" si="1"/>
        <v>0.66666666666666663</v>
      </c>
      <c r="K5" t="s">
        <v>163</v>
      </c>
    </row>
    <row r="6" spans="1:13" x14ac:dyDescent="0.25">
      <c r="A6" s="32">
        <v>5</v>
      </c>
      <c r="B6" s="36">
        <v>3000</v>
      </c>
      <c r="C6" s="37">
        <v>2400</v>
      </c>
      <c r="D6" s="38">
        <f t="shared" si="0"/>
        <v>600</v>
      </c>
      <c r="E6" s="39">
        <f t="shared" si="1"/>
        <v>0.25</v>
      </c>
      <c r="K6" t="s">
        <v>162</v>
      </c>
    </row>
    <row r="7" spans="1:13" x14ac:dyDescent="0.25">
      <c r="A7" s="32">
        <v>6</v>
      </c>
      <c r="B7" s="36">
        <v>2340</v>
      </c>
      <c r="C7" s="37">
        <v>1872</v>
      </c>
      <c r="D7" s="38">
        <f t="shared" si="0"/>
        <v>468</v>
      </c>
      <c r="E7" s="39">
        <f t="shared" si="1"/>
        <v>0.25</v>
      </c>
      <c r="K7" t="s">
        <v>164</v>
      </c>
    </row>
    <row r="8" spans="1:13" x14ac:dyDescent="0.25">
      <c r="A8" s="46">
        <v>7</v>
      </c>
      <c r="B8" s="40">
        <v>2340</v>
      </c>
      <c r="C8" s="41">
        <v>1872</v>
      </c>
      <c r="D8" s="42">
        <f t="shared" si="0"/>
        <v>468</v>
      </c>
      <c r="E8" s="43">
        <f t="shared" si="1"/>
        <v>0.25</v>
      </c>
    </row>
    <row r="9" spans="1:13" x14ac:dyDescent="0.25">
      <c r="A9" s="32">
        <v>8</v>
      </c>
      <c r="B9" s="36">
        <v>830</v>
      </c>
      <c r="C9" s="37">
        <v>420</v>
      </c>
      <c r="D9" s="38">
        <f t="shared" si="0"/>
        <v>410</v>
      </c>
      <c r="E9" s="39">
        <f t="shared" si="1"/>
        <v>0.97619047619047616</v>
      </c>
    </row>
    <row r="10" spans="1:13" x14ac:dyDescent="0.25">
      <c r="A10" s="32">
        <v>9</v>
      </c>
      <c r="B10" s="36">
        <v>900</v>
      </c>
      <c r="C10" s="44">
        <v>450</v>
      </c>
      <c r="D10" s="38">
        <f t="shared" si="0"/>
        <v>450</v>
      </c>
      <c r="E10" s="39">
        <f t="shared" si="1"/>
        <v>1</v>
      </c>
    </row>
    <row r="11" spans="1:13" x14ac:dyDescent="0.25">
      <c r="A11" s="32">
        <v>10</v>
      </c>
      <c r="B11" s="36">
        <v>1305</v>
      </c>
      <c r="C11" s="44">
        <v>783</v>
      </c>
      <c r="D11" s="38">
        <f t="shared" si="0"/>
        <v>522</v>
      </c>
      <c r="E11" s="39">
        <f t="shared" si="1"/>
        <v>0.66666666666666663</v>
      </c>
    </row>
    <row r="12" spans="1:13" x14ac:dyDescent="0.25">
      <c r="A12" s="45">
        <v>10</v>
      </c>
      <c r="B12" s="36">
        <v>2323</v>
      </c>
      <c r="C12" s="44">
        <v>545</v>
      </c>
      <c r="D12" s="38">
        <v>657</v>
      </c>
      <c r="E12" s="39">
        <f t="shared" si="1"/>
        <v>1.2055045871559633</v>
      </c>
    </row>
    <row r="13" spans="1:13" x14ac:dyDescent="0.25">
      <c r="A13" s="32">
        <v>11</v>
      </c>
      <c r="B13" s="36">
        <v>330</v>
      </c>
      <c r="C13" s="44">
        <v>180</v>
      </c>
      <c r="D13" s="38">
        <f>B13-C13</f>
        <v>150</v>
      </c>
      <c r="E13" s="39">
        <f t="shared" si="1"/>
        <v>0.83333333333333337</v>
      </c>
    </row>
    <row r="14" spans="1:13" x14ac:dyDescent="0.25">
      <c r="A14" s="32">
        <v>12</v>
      </c>
      <c r="B14" s="40">
        <v>330</v>
      </c>
      <c r="C14" s="42">
        <v>180</v>
      </c>
      <c r="D14" s="42">
        <f>B14-C14</f>
        <v>150</v>
      </c>
      <c r="E14" s="43">
        <f t="shared" si="1"/>
        <v>0.83333333333333337</v>
      </c>
    </row>
    <row r="15" spans="1:13" x14ac:dyDescent="0.25">
      <c r="A15" s="45">
        <v>8</v>
      </c>
      <c r="B15" s="32">
        <v>4667</v>
      </c>
      <c r="C15" s="32">
        <v>344</v>
      </c>
      <c r="D15" s="32">
        <v>667</v>
      </c>
      <c r="E15" s="39">
        <f t="shared" si="1"/>
        <v>1.9389534883720929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13AB-8077-43E6-A2DE-1DF535F7ADAB}">
  <dimension ref="A1:O15"/>
  <sheetViews>
    <sheetView workbookViewId="0">
      <selection activeCell="E25" sqref="E25"/>
    </sheetView>
  </sheetViews>
  <sheetFormatPr defaultRowHeight="15" x14ac:dyDescent="0.25"/>
  <cols>
    <col min="5" max="5" width="17" customWidth="1"/>
    <col min="6" max="6" width="10.140625" bestFit="1" customWidth="1"/>
  </cols>
  <sheetData>
    <row r="1" spans="1:15" ht="21" x14ac:dyDescent="0.35">
      <c r="A1" s="32" t="s">
        <v>158</v>
      </c>
      <c r="B1" s="32" t="s">
        <v>133</v>
      </c>
      <c r="C1" s="32" t="s">
        <v>134</v>
      </c>
      <c r="D1" s="32" t="s">
        <v>135</v>
      </c>
      <c r="E1" s="32" t="s">
        <v>136</v>
      </c>
      <c r="F1" t="s">
        <v>165</v>
      </c>
      <c r="G1" s="32" t="s">
        <v>167</v>
      </c>
      <c r="L1" s="47" t="s">
        <v>166</v>
      </c>
    </row>
    <row r="2" spans="1:15" x14ac:dyDescent="0.25">
      <c r="A2" s="32">
        <v>1</v>
      </c>
      <c r="B2" s="32">
        <v>1755</v>
      </c>
      <c r="C2" s="32">
        <v>1053</v>
      </c>
      <c r="D2" s="32">
        <f t="shared" ref="D2:D11" si="0">B2-C2</f>
        <v>702</v>
      </c>
      <c r="E2" s="39">
        <f t="shared" ref="E2:E15" si="1">D2/C2</f>
        <v>0.66666666666666663</v>
      </c>
      <c r="G2" s="49">
        <f>F2</f>
        <v>0</v>
      </c>
    </row>
    <row r="3" spans="1:15" x14ac:dyDescent="0.25">
      <c r="A3" s="32">
        <v>2</v>
      </c>
      <c r="B3" s="32">
        <v>2880</v>
      </c>
      <c r="C3" s="32">
        <v>2304</v>
      </c>
      <c r="D3" s="32">
        <f t="shared" si="0"/>
        <v>576</v>
      </c>
      <c r="E3" s="39">
        <f t="shared" si="1"/>
        <v>0.25</v>
      </c>
      <c r="G3" s="49"/>
      <c r="O3" s="48" t="s">
        <v>168</v>
      </c>
    </row>
    <row r="4" spans="1:15" x14ac:dyDescent="0.25">
      <c r="A4" s="32">
        <v>3</v>
      </c>
      <c r="B4" s="32">
        <v>2880</v>
      </c>
      <c r="C4" s="32">
        <v>2304</v>
      </c>
      <c r="D4" s="32">
        <f t="shared" si="0"/>
        <v>576</v>
      </c>
      <c r="E4" s="39">
        <f t="shared" si="1"/>
        <v>0.25</v>
      </c>
      <c r="G4" s="49"/>
    </row>
    <row r="5" spans="1:15" x14ac:dyDescent="0.25">
      <c r="A5" s="32">
        <v>4</v>
      </c>
      <c r="B5" s="32">
        <v>1650</v>
      </c>
      <c r="C5" s="32">
        <v>990</v>
      </c>
      <c r="D5" s="32">
        <f t="shared" si="0"/>
        <v>660</v>
      </c>
      <c r="E5" s="39">
        <f t="shared" si="1"/>
        <v>0.66666666666666663</v>
      </c>
      <c r="G5" s="49"/>
    </row>
    <row r="6" spans="1:15" x14ac:dyDescent="0.25">
      <c r="A6" s="32">
        <v>5</v>
      </c>
      <c r="B6" s="32">
        <v>3000</v>
      </c>
      <c r="C6" s="32">
        <v>2400</v>
      </c>
      <c r="D6" s="32">
        <f t="shared" si="0"/>
        <v>600</v>
      </c>
      <c r="E6" s="39">
        <f t="shared" si="1"/>
        <v>0.25</v>
      </c>
      <c r="G6" s="49"/>
      <c r="O6" t="s">
        <v>169</v>
      </c>
    </row>
    <row r="7" spans="1:15" x14ac:dyDescent="0.25">
      <c r="A7" s="32">
        <v>6</v>
      </c>
      <c r="B7" s="32">
        <v>2340</v>
      </c>
      <c r="C7" s="32">
        <v>1872</v>
      </c>
      <c r="D7" s="32">
        <f t="shared" si="0"/>
        <v>468</v>
      </c>
      <c r="E7" s="39">
        <f t="shared" si="1"/>
        <v>0.25</v>
      </c>
      <c r="G7" s="49"/>
    </row>
    <row r="8" spans="1:15" x14ac:dyDescent="0.25">
      <c r="A8" s="32">
        <v>7</v>
      </c>
      <c r="B8" s="32">
        <v>2340</v>
      </c>
      <c r="C8" s="32">
        <v>1872</v>
      </c>
      <c r="D8" s="32">
        <f t="shared" si="0"/>
        <v>468</v>
      </c>
      <c r="E8" s="39">
        <f t="shared" si="1"/>
        <v>0.25</v>
      </c>
      <c r="G8" s="49"/>
      <c r="O8" t="s">
        <v>170</v>
      </c>
    </row>
    <row r="9" spans="1:15" x14ac:dyDescent="0.25">
      <c r="A9" s="32">
        <v>8</v>
      </c>
      <c r="B9" s="32">
        <v>830</v>
      </c>
      <c r="C9" s="32">
        <v>420</v>
      </c>
      <c r="D9" s="32">
        <f t="shared" si="0"/>
        <v>410</v>
      </c>
      <c r="E9" s="39">
        <f t="shared" si="1"/>
        <v>0.97619047619047616</v>
      </c>
      <c r="G9" s="49"/>
    </row>
    <row r="10" spans="1:15" x14ac:dyDescent="0.25">
      <c r="A10" s="32">
        <v>9</v>
      </c>
      <c r="B10" s="32">
        <v>900</v>
      </c>
      <c r="C10" s="32">
        <v>450</v>
      </c>
      <c r="D10" s="32">
        <f t="shared" si="0"/>
        <v>450</v>
      </c>
      <c r="E10" s="39">
        <f t="shared" si="1"/>
        <v>1</v>
      </c>
      <c r="G10" s="49"/>
    </row>
    <row r="11" spans="1:15" x14ac:dyDescent="0.25">
      <c r="A11" s="32">
        <v>10</v>
      </c>
      <c r="B11" s="32">
        <v>1305</v>
      </c>
      <c r="C11" s="32">
        <v>783</v>
      </c>
      <c r="D11" s="32">
        <f t="shared" si="0"/>
        <v>522</v>
      </c>
      <c r="E11" s="39">
        <f t="shared" si="1"/>
        <v>0.66666666666666663</v>
      </c>
      <c r="G11" s="49"/>
    </row>
    <row r="12" spans="1:15" x14ac:dyDescent="0.25">
      <c r="A12" s="32">
        <v>10</v>
      </c>
      <c r="B12" s="32">
        <v>2323</v>
      </c>
      <c r="C12" s="32">
        <v>545</v>
      </c>
      <c r="D12" s="32">
        <v>657</v>
      </c>
      <c r="E12" s="39">
        <f t="shared" si="1"/>
        <v>1.2055045871559633</v>
      </c>
      <c r="G12" s="49"/>
    </row>
    <row r="13" spans="1:15" x14ac:dyDescent="0.25">
      <c r="A13" s="32">
        <v>11</v>
      </c>
      <c r="B13" s="32">
        <v>330</v>
      </c>
      <c r="C13" s="32">
        <v>180</v>
      </c>
      <c r="D13" s="32">
        <f>B13-C13</f>
        <v>150</v>
      </c>
      <c r="E13" s="39">
        <f t="shared" si="1"/>
        <v>0.83333333333333337</v>
      </c>
      <c r="G13" s="49"/>
    </row>
    <row r="14" spans="1:15" x14ac:dyDescent="0.25">
      <c r="A14" s="32">
        <v>12</v>
      </c>
      <c r="B14" s="32">
        <v>330</v>
      </c>
      <c r="C14" s="32">
        <v>180</v>
      </c>
      <c r="D14" s="32">
        <f>B14-C14</f>
        <v>150</v>
      </c>
      <c r="E14" s="39">
        <f t="shared" si="1"/>
        <v>0.83333333333333337</v>
      </c>
      <c r="G14" s="49"/>
    </row>
    <row r="15" spans="1:15" x14ac:dyDescent="0.25">
      <c r="A15" s="32">
        <v>8</v>
      </c>
      <c r="B15" s="32">
        <v>4667</v>
      </c>
      <c r="C15" s="32">
        <v>344</v>
      </c>
      <c r="D15" s="32">
        <v>667</v>
      </c>
      <c r="E15" s="39">
        <f t="shared" si="1"/>
        <v>1.9389534883720929</v>
      </c>
      <c r="G15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</vt:i4>
      </vt:variant>
    </vt:vector>
  </HeadingPairs>
  <TitlesOfParts>
    <vt:vector size="10" baseType="lpstr">
      <vt:lpstr>1.обл.печ</vt:lpstr>
      <vt:lpstr>2.сквоз.стр.стол.</vt:lpstr>
      <vt:lpstr>3.заполн.дат</vt:lpstr>
      <vt:lpstr>4.спец.встав</vt:lpstr>
      <vt:lpstr>5.раздел_столб</vt:lpstr>
      <vt:lpstr>6.мгнов.заполн.</vt:lpstr>
      <vt:lpstr>7. дубликаты</vt:lpstr>
      <vt:lpstr>8.огр_ввода</vt:lpstr>
      <vt:lpstr>'1.обл.печ'!Заголовки_для_печати</vt:lpstr>
      <vt:lpstr>'2.сквоз.стр.стол.'!Заголовки_для_печати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</dc:creator>
  <cp:lastModifiedBy>Людмила Герськина</cp:lastModifiedBy>
  <cp:lastPrinted>2025-09-17T09:39:52Z</cp:lastPrinted>
  <dcterms:created xsi:type="dcterms:W3CDTF">2015-06-05T18:17:20Z</dcterms:created>
  <dcterms:modified xsi:type="dcterms:W3CDTF">2025-09-17T18:17:39Z</dcterms:modified>
</cp:coreProperties>
</file>