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курс с 10.09  по 5.11\5_Excel_2\"/>
    </mc:Choice>
  </mc:AlternateContent>
  <xr:revisionPtr revIDLastSave="0" documentId="8_{143893F6-A8BD-454F-BA3D-3397E4A5EE2D}" xr6:coauthVersionLast="47" xr6:coauthVersionMax="47" xr10:uidLastSave="{00000000-0000-0000-0000-000000000000}"/>
  <bookViews>
    <workbookView xWindow="2805" yWindow="255" windowWidth="24300" windowHeight="14295" tabRatio="912" firstSheet="6" activeTab="9" xr2:uid="{DA9F6CE0-0F6E-450B-BF4C-511ED579D8CA}"/>
  </bookViews>
  <sheets>
    <sheet name="счет" sheetId="3" r:id="rId1"/>
    <sheet name="счет_если" sheetId="9" r:id="rId2"/>
    <sheet name="сумма" sheetId="2" r:id="rId3"/>
    <sheet name="текст_ФИО" sheetId="4" r:id="rId4"/>
    <sheet name="текст" sheetId="5" r:id="rId5"/>
    <sheet name="текст-формат" sheetId="6" r:id="rId6"/>
    <sheet name="логические" sheetId="10" r:id="rId7"/>
    <sheet name="категория" sheetId="11" r:id="rId8"/>
    <sheet name="время" sheetId="12" r:id="rId9"/>
    <sheet name="время_1" sheetId="13" r:id="rId10"/>
    <sheet name="время_2" sheetId="14" r:id="rId11"/>
    <sheet name="поиск" sheetId="15" r:id="rId12"/>
    <sheet name="поиск_комб" sheetId="16" r:id="rId13"/>
    <sheet name="листов EX" sheetId="23" r:id="rId14"/>
    <sheet name="список" sheetId="18" r:id="rId15"/>
    <sheet name="сп_зав" sheetId="19" r:id="rId16"/>
    <sheet name="сп_зв" sheetId="26" r:id="rId17"/>
    <sheet name="список3" sheetId="20" r:id="rId18"/>
    <sheet name="сп+сумма" sheetId="28" r:id="rId19"/>
    <sheet name="ошибки" sheetId="29" r:id="rId20"/>
    <sheet name="комбо_п_о_сп" sheetId="17" r:id="rId21"/>
  </sheets>
  <definedNames>
    <definedName name="lst_Fruit">#REF!</definedName>
    <definedName name="Азия">список3!$B$6:$B$9</definedName>
    <definedName name="Азия_Китай">список3!$C$6:$C$7</definedName>
    <definedName name="Азия_Япония">список3!$C$8:$C$9</definedName>
    <definedName name="Америка">список3!$B$10:$B$13</definedName>
    <definedName name="Америка_Канада">список3!$C$12:$C$13</definedName>
    <definedName name="Америка_США">список3!$C$10:$C$11</definedName>
    <definedName name="выбор">комбо_п_о_сп!$M$1:$M$2</definedName>
    <definedName name="Европа">список3!$B$2:$B$5</definedName>
    <definedName name="Европа_Германия">список3!$C$2:$C$3</definedName>
    <definedName name="Европа_Франция">список3!$C$4:$C$5</definedName>
    <definedName name="количество">#REF!</definedName>
    <definedName name="Континент">список3!$A$2:$A$13</definedName>
    <definedName name="машины">список!$O$13:$O$17</definedName>
    <definedName name="НазванияСтрок">#REF!</definedName>
    <definedName name="НесортированныйСписокГородов">#REF!</definedName>
    <definedName name="овощи">сп_зав!$Q$6:$Q$8</definedName>
    <definedName name="СписокКатегорий">сп_зв!$A$2:$A$9</definedName>
    <definedName name="фрукты">сп_зав!$P$6:$P$8</definedName>
    <definedName name="ФруктыСписок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13" l="1"/>
  <c r="E15" i="17" l="1"/>
  <c r="D15" i="17"/>
  <c r="F3" i="29"/>
  <c r="F4" i="29"/>
  <c r="F5" i="29"/>
  <c r="F6" i="29"/>
  <c r="F7" i="29"/>
  <c r="F8" i="29"/>
  <c r="F9" i="29"/>
  <c r="F2" i="29"/>
  <c r="F10" i="29"/>
  <c r="D3" i="29"/>
  <c r="D4" i="29"/>
  <c r="D5" i="29"/>
  <c r="D6" i="29"/>
  <c r="D7" i="29"/>
  <c r="D8" i="29"/>
  <c r="D9" i="29"/>
  <c r="D2" i="29"/>
  <c r="E3" i="29"/>
  <c r="E4" i="29"/>
  <c r="E5" i="29"/>
  <c r="E6" i="29"/>
  <c r="E7" i="29"/>
  <c r="E8" i="29"/>
  <c r="B15" i="28"/>
  <c r="D16" i="16"/>
  <c r="D15" i="16"/>
  <c r="N14" i="16"/>
  <c r="D13" i="16"/>
  <c r="D12" i="16"/>
  <c r="E16" i="15"/>
  <c r="E15" i="15"/>
  <c r="E14" i="15"/>
  <c r="E13" i="15"/>
  <c r="A17" i="14"/>
  <c r="B12" i="13"/>
  <c r="B11" i="13"/>
  <c r="B10" i="12"/>
  <c r="C22" i="11"/>
  <c r="D3" i="11"/>
  <c r="E22" i="10"/>
  <c r="H2" i="10"/>
  <c r="D2" i="10"/>
  <c r="G2" i="10"/>
  <c r="A3" i="6"/>
  <c r="B2" i="6"/>
  <c r="H3" i="5"/>
  <c r="H4" i="5"/>
  <c r="H5" i="5"/>
  <c r="G3" i="5"/>
  <c r="G4" i="5"/>
  <c r="G5" i="5"/>
  <c r="G2" i="5"/>
  <c r="F3" i="5"/>
  <c r="F4" i="5"/>
  <c r="F5" i="5"/>
  <c r="D3" i="5"/>
  <c r="D4" i="5"/>
  <c r="D5" i="5"/>
  <c r="C3" i="5"/>
  <c r="C4" i="5"/>
  <c r="C5" i="5"/>
  <c r="C2" i="5"/>
  <c r="A29" i="4"/>
  <c r="F2" i="4"/>
  <c r="D3" i="4"/>
  <c r="D4" i="4"/>
  <c r="D5" i="4"/>
  <c r="D6" i="4"/>
  <c r="D7" i="4"/>
  <c r="D8" i="4"/>
  <c r="D9" i="4"/>
  <c r="D10" i="4"/>
  <c r="C3" i="4"/>
  <c r="C4" i="4"/>
  <c r="C5" i="4"/>
  <c r="C6" i="4"/>
  <c r="C7" i="4"/>
  <c r="C8" i="4"/>
  <c r="C9" i="4"/>
  <c r="C10" i="4"/>
  <c r="D18" i="4"/>
  <c r="D17" i="4"/>
  <c r="C21" i="4"/>
  <c r="C20" i="4"/>
  <c r="C17" i="4"/>
  <c r="B18" i="4"/>
  <c r="B19" i="4"/>
  <c r="B20" i="4"/>
  <c r="B21" i="4"/>
  <c r="B22" i="4"/>
  <c r="B23" i="4"/>
  <c r="B24" i="4"/>
  <c r="B25" i="4"/>
  <c r="A18" i="4"/>
  <c r="A19" i="4"/>
  <c r="A20" i="4"/>
  <c r="A21" i="4"/>
  <c r="A22" i="4"/>
  <c r="A23" i="4"/>
  <c r="A24" i="4"/>
  <c r="A25" i="4"/>
  <c r="F24" i="9"/>
  <c r="F21" i="9"/>
  <c r="F18" i="9"/>
  <c r="H8" i="3"/>
  <c r="H7" i="3"/>
  <c r="F12" i="3"/>
  <c r="F11" i="3"/>
  <c r="B20" i="2"/>
  <c r="B19" i="2"/>
  <c r="B18" i="2"/>
  <c r="B15" i="2"/>
  <c r="B14" i="2"/>
  <c r="D8" i="17"/>
  <c r="E2" i="29"/>
  <c r="D14" i="16"/>
  <c r="E17" i="15"/>
  <c r="B17" i="12"/>
  <c r="H11" i="3"/>
  <c r="F10" i="3"/>
  <c r="F9" i="3"/>
  <c r="B17" i="2"/>
  <c r="B16" i="2"/>
  <c r="N16" i="16"/>
  <c r="N15" i="16"/>
  <c r="B12" i="12"/>
  <c r="B14" i="12"/>
  <c r="D7" i="17"/>
  <c r="D19" i="17"/>
  <c r="D20" i="17"/>
  <c r="D21" i="17"/>
  <c r="B3" i="14"/>
  <c r="B4" i="14"/>
  <c r="B5" i="14"/>
  <c r="B6" i="14"/>
  <c r="B7" i="14"/>
  <c r="B8" i="14"/>
  <c r="B14" i="14"/>
  <c r="A8" i="13"/>
  <c r="A9" i="13"/>
  <c r="A10" i="13"/>
  <c r="B3" i="12"/>
  <c r="B4" i="12"/>
  <c r="B5" i="12"/>
  <c r="B6" i="12"/>
  <c r="B7" i="12"/>
  <c r="B11" i="12"/>
  <c r="B15" i="12"/>
  <c r="B16" i="12"/>
  <c r="D4" i="11"/>
  <c r="D5" i="11"/>
  <c r="D6" i="11"/>
  <c r="D7" i="11"/>
  <c r="D8" i="11"/>
  <c r="C23" i="11"/>
  <c r="C24" i="11"/>
  <c r="C25" i="11"/>
  <c r="C26" i="11"/>
  <c r="C27" i="11"/>
  <c r="E2" i="10"/>
  <c r="F2" i="10"/>
  <c r="D3" i="10"/>
  <c r="E3" i="10"/>
  <c r="F3" i="10"/>
  <c r="G3" i="10"/>
  <c r="H3" i="10"/>
  <c r="D4" i="10"/>
  <c r="E4" i="10"/>
  <c r="F4" i="10"/>
  <c r="G4" i="10"/>
  <c r="H4" i="10"/>
  <c r="D5" i="10"/>
  <c r="E5" i="10"/>
  <c r="F5" i="10"/>
  <c r="G5" i="10"/>
  <c r="H5" i="10"/>
  <c r="D6" i="10"/>
  <c r="E6" i="10"/>
  <c r="F6" i="10"/>
  <c r="G6" i="10"/>
  <c r="H6" i="10"/>
  <c r="D7" i="10"/>
  <c r="E7" i="10"/>
  <c r="F7" i="10"/>
  <c r="G7" i="10"/>
  <c r="H7" i="10"/>
  <c r="E23" i="10"/>
  <c r="E24" i="10"/>
  <c r="E25" i="10"/>
  <c r="E26" i="10"/>
  <c r="E27" i="10"/>
  <c r="B34" i="4"/>
  <c r="B33" i="4"/>
  <c r="B32" i="4"/>
  <c r="B17" i="4"/>
  <c r="A17" i="4"/>
  <c r="C2" i="4"/>
  <c r="A1" i="23"/>
  <c r="A2" i="23"/>
  <c r="A9" i="23"/>
  <c r="A19" i="23"/>
  <c r="A3" i="23"/>
  <c r="A21" i="23"/>
  <c r="A4" i="23"/>
  <c r="A5" i="23"/>
  <c r="A11" i="23"/>
  <c r="A6" i="23"/>
  <c r="A8" i="23"/>
  <c r="A7" i="23"/>
  <c r="A22" i="23"/>
  <c r="A10" i="23"/>
  <c r="A12" i="23"/>
  <c r="A17" i="23"/>
  <c r="A20" i="23"/>
  <c r="A13" i="23"/>
  <c r="A14" i="23"/>
  <c r="A15" i="23"/>
  <c r="A16" i="23"/>
  <c r="A18" i="23"/>
  <c r="C2" i="23"/>
  <c r="C9" i="23"/>
  <c r="C3" i="23"/>
  <c r="C4" i="23"/>
  <c r="C7" i="23"/>
  <c r="C5" i="23"/>
  <c r="C6" i="23"/>
  <c r="C8" i="23"/>
  <c r="C14" i="23"/>
  <c r="C15" i="23"/>
  <c r="C17" i="23"/>
  <c r="C10" i="23"/>
  <c r="C11" i="23"/>
  <c r="C12" i="23"/>
  <c r="C21" i="23"/>
  <c r="C16" i="23"/>
  <c r="C22" i="23"/>
  <c r="C13" i="23"/>
  <c r="C18" i="23"/>
  <c r="C19" i="23"/>
  <c r="C20" i="23"/>
  <c r="C1" i="23"/>
  <c r="F15" i="9" l="1"/>
  <c r="B3" i="6"/>
  <c r="F17" i="4" l="1"/>
  <c r="C18" i="4"/>
  <c r="B11" i="6"/>
  <c r="B12" i="6"/>
  <c r="B6" i="6"/>
  <c r="B7" i="6"/>
  <c r="B8" i="6"/>
  <c r="B9" i="6"/>
  <c r="B10" i="6"/>
  <c r="A5" i="6"/>
  <c r="B5" i="6" s="1"/>
  <c r="A4" i="6"/>
  <c r="B4" i="6" s="1"/>
  <c r="H2" i="5"/>
  <c r="F2" i="5"/>
  <c r="E3" i="5"/>
  <c r="E4" i="5"/>
  <c r="E5" i="5"/>
  <c r="E2" i="5"/>
  <c r="D2" i="5"/>
  <c r="E2" i="4"/>
  <c r="D2" i="4"/>
  <c r="F3" i="4"/>
  <c r="F4" i="4"/>
  <c r="F5" i="4"/>
  <c r="F6" i="4"/>
  <c r="F7" i="4"/>
  <c r="F8" i="4"/>
  <c r="F9" i="4"/>
  <c r="F10" i="4"/>
  <c r="E3" i="4"/>
  <c r="E4" i="4"/>
  <c r="E5" i="4"/>
  <c r="E6" i="4"/>
  <c r="E7" i="4"/>
  <c r="E8" i="4"/>
  <c r="E9" i="4"/>
  <c r="E10" i="4"/>
  <c r="E17" i="4"/>
  <c r="C19" i="4"/>
</calcChain>
</file>

<file path=xl/sharedStrings.xml><?xml version="1.0" encoding="utf-8"?>
<sst xmlns="http://schemas.openxmlformats.org/spreadsheetml/2006/main" count="866" uniqueCount="572">
  <si>
    <t>Данные</t>
  </si>
  <si>
    <t>Описание</t>
  </si>
  <si>
    <t>Месяц</t>
  </si>
  <si>
    <t>Продажи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</si>
  <si>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</si>
  <si>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</si>
  <si>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</si>
  <si>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</si>
  <si>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</si>
  <si>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</si>
  <si>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</si>
  <si>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</si>
  <si>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</si>
  <si>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</si>
  <si>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</si>
  <si>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</si>
  <si>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сумма</t>
  </si>
  <si>
    <t>среднее</t>
  </si>
  <si>
    <t>мин</t>
  </si>
  <si>
    <t>мах</t>
  </si>
  <si>
    <t>Страна</t>
  </si>
  <si>
    <t>Город</t>
  </si>
  <si>
    <t>Россия</t>
  </si>
  <si>
    <t>Москва</t>
  </si>
  <si>
    <t>Санкт-Петербург</t>
  </si>
  <si>
    <t>Германия</t>
  </si>
  <si>
    <t>Берлин</t>
  </si>
  <si>
    <t>Казань</t>
  </si>
  <si>
    <t>Франция</t>
  </si>
  <si>
    <t>Париж</t>
  </si>
  <si>
    <t>Сотрудник</t>
  </si>
  <si>
    <t>Возраст</t>
  </si>
  <si>
    <t>Иванов</t>
  </si>
  <si>
    <t>Петров</t>
  </si>
  <si>
    <t>Сидоров</t>
  </si>
  <si>
    <t>Не указано</t>
  </si>
  <si>
    <t>Смирнов</t>
  </si>
  <si>
    <t>Кузнецов</t>
  </si>
  <si>
    <t>Население</t>
  </si>
  <si>
    <t>Регион</t>
  </si>
  <si>
    <t>Менеджер</t>
  </si>
  <si>
    <t>Запад</t>
  </si>
  <si>
    <t>Восток</t>
  </si>
  <si>
    <t xml:space="preserve">сумму продаж менеджера “Сидоров” в регионе “Запад” </t>
  </si>
  <si>
    <t xml:space="preserve">сумму продаж в регионе “Запад” </t>
  </si>
  <si>
    <t>"=СЧЁТЕСЛИ(H2:H5;"")"</t>
  </si>
  <si>
    <t>"=COUNTBLANK(G2:G5)"</t>
  </si>
  <si>
    <t>подсчет во всем диапазоне</t>
  </si>
  <si>
    <t>количество_строк * количество_столбцов - СЧЁТЗ(диапазон)</t>
  </si>
  <si>
    <t>аналога нет</t>
  </si>
  <si>
    <t>Иванов Иван Иванович</t>
  </si>
  <si>
    <t xml:space="preserve">Петров Петр Петрович </t>
  </si>
  <si>
    <t>Васечкин Василий Васильевич</t>
  </si>
  <si>
    <t>Олегов Олег Олегович</t>
  </si>
  <si>
    <t>ф</t>
  </si>
  <si>
    <t>Дмитриев Дмитрий Дмитреевич</t>
  </si>
  <si>
    <t>Александров Александр Александрович</t>
  </si>
  <si>
    <t>Костюшко Константин Константинович</t>
  </si>
  <si>
    <t>ФИО</t>
  </si>
  <si>
    <t>о</t>
  </si>
  <si>
    <t>Петров Петр Иванович</t>
  </si>
  <si>
    <t>"=ПОИСК("Иван";A2;3)"</t>
  </si>
  <si>
    <t>"=НАЙТИ("Иван";A2)"</t>
  </si>
  <si>
    <t>поиск</t>
  </si>
  <si>
    <t>найти</t>
  </si>
  <si>
    <t>"=ПСТР(A2;1;6)"</t>
  </si>
  <si>
    <t>Петрова Анна Сергеевна</t>
  </si>
  <si>
    <t>Аналитик</t>
  </si>
  <si>
    <t>Сидоров Сергей Петрович</t>
  </si>
  <si>
    <t>Программист</t>
  </si>
  <si>
    <t>"=B2&amp;" "&amp;ЛЕВСИМВ(A2;ПОИСК(" ";A2)-1)&amp;" "&amp;ПСТР(A2;ПОИСК(" ";A2)+1;ПОИСК(" ";A2;ПОИСК(" ";A2)+1)-ПОИСК(" ";A2)-1)"</t>
  </si>
  <si>
    <t xml:space="preserve">Петров Иван Петрович </t>
  </si>
  <si>
    <t>"="Фамилия: "&amp;ЛЕВСИМВ(A2;ПОИСК(" ";A2)-1)&amp;" Имя: "&amp;ПСТР(A2;ПОИСК(" ";A2)+1;ПОИСК(" ";A2;ПОИСК(" ";A2)+1)-ПОИСК(" ";A2)-1)&amp;" Отчество: "&amp;ПСТР(A2;ПОИСК(" ";A2;ПОИСК(" ";A2)+1)+1;ДЛСТР(A2)-ПОИСК(" ";A2;ПОИСК(" ";A2)+1))"</t>
  </si>
  <si>
    <t>Должность</t>
  </si>
  <si>
    <t>менеджер</t>
  </si>
  <si>
    <t>"=ЕСЛИ(ЕЧИСЛО(ПОИСК("менеджер";B2));"Да";"Нет")"</t>
  </si>
  <si>
    <t>"=ПОДСТАВИТЬ(B2;"Менеджер";"Руководитель")"</t>
  </si>
  <si>
    <t>1- Проверка, содержит ли должность слово “Менеджер” (без учета регистра)</t>
  </si>
  <si>
    <t xml:space="preserve">цель </t>
  </si>
  <si>
    <t>"=ДЛСТР(A2)"</t>
  </si>
  <si>
    <t>3- Определение длины строки с пробелом</t>
  </si>
  <si>
    <t>"=СТРОЧН(A2)"</t>
  </si>
  <si>
    <t>4- в нижний регистр</t>
  </si>
  <si>
    <t>5- Преобразование с заглавной буквы каждого слова</t>
  </si>
  <si>
    <t>"=ПРОПНАЧ(F2)"</t>
  </si>
  <si>
    <t>6 -Удаление лишних пробелов</t>
  </si>
  <si>
    <t xml:space="preserve"> Менеджер </t>
  </si>
  <si>
    <t xml:space="preserve"> Программист</t>
  </si>
  <si>
    <t>"=СЖПРОБЕЛЫ(B2)"</t>
  </si>
  <si>
    <t>2- Замена слова “Менеджер” на “Руководитель” в должности регистр учитывает</t>
  </si>
  <si>
    <t>цель</t>
  </si>
  <si>
    <t>1-рассмотреть разные функции</t>
  </si>
  <si>
    <t>2-комбинированные  функции</t>
  </si>
  <si>
    <t>посл. с пробелом</t>
  </si>
  <si>
    <t>Сегодняшняя дата в формате ДД/ММ/ГГ, например: 14.03.12</t>
  </si>
  <si>
    <t>Сегодняшний день недели, например: понедельник</t>
  </si>
  <si>
    <t>Текущее время, например: 13:29</t>
  </si>
  <si>
    <t>Процентный формат, например: 28,5 %</t>
  </si>
  <si>
    <t>Дробный формат, например: 4 1/3</t>
  </si>
  <si>
    <t>Экспоненциальное представление, например: 1,22E+07</t>
  </si>
  <si>
    <t>Дополнительный формат (номер телефона), например: (123) 456-7898</t>
  </si>
  <si>
    <t>Добавление нулей в начале, например: 0001234</t>
  </si>
  <si>
    <t>Пользовательский формат (широта или долгота), например: 12° 34' 56''</t>
  </si>
  <si>
    <t>число</t>
  </si>
  <si>
    <t>преобразование</t>
  </si>
  <si>
    <t xml:space="preserve">Ден. формат с раздел. групп разрядов и двумя разрядами
 дробной части, например: 1 234,57 ₽. </t>
  </si>
  <si>
    <t>Дробный формат, например: 1/3 СЖПРОБЕЛЫ используется для
 удаления начального пробела перед дробной частью.</t>
  </si>
  <si>
    <t>"=ТЕКСТ(A2;"# ##0,00 ₽")"</t>
  </si>
  <si>
    <t>"=ТЕКСТ(A3;"ДД.ММ.ГГ")"</t>
  </si>
  <si>
    <t>"=ТЕКСТ(A4;"ДДДД")"</t>
  </si>
  <si>
    <t>"=ТЕКСТ(A5;"ЧЧ:ММ")"</t>
  </si>
  <si>
    <t>"=ТЕКСТ(A6;"0,0 %")"</t>
  </si>
  <si>
    <t>"=ТЕКСТ(A7;"0,00E+00")"</t>
  </si>
  <si>
    <t>"=ТЕКСТ(A8;"[&lt;=9999999]###-##-##;(###) ###-##-##")"</t>
  </si>
  <si>
    <t>"=ТЕКСТ(A9;"0000000")"</t>
  </si>
  <si>
    <t>"=ТЕКСТ(A10;"##0° 00' 00''")"</t>
  </si>
  <si>
    <t>"=СЖПРОБЕЛЫ(ТЕКСТ(A12;"# ?/?"))"</t>
  </si>
  <si>
    <t>"=ТЕКСТ(A11;"?/?")"</t>
  </si>
  <si>
    <t>https://www.example1.com/page</t>
  </si>
  <si>
    <t>https://www.example2.com/page</t>
  </si>
  <si>
    <t>https://www.example3.com/page</t>
  </si>
  <si>
    <t>"=ПСТР(A3;ПОИСК("www.";A3)+4;ПОИСК("/";A3;ПОИСК("www.";A3)+4)-(ПОИСК("www.";A3)+4))"</t>
  </si>
  <si>
    <t>"=ПСТР(A4; ПОИСК("://";A4)+7; ПОИСК("/";A4;ПОИСК("://";A4)+7) - (ПОИСК("://";A4)+7))"</t>
  </si>
  <si>
    <t>"=СУММЕСЛИМН(B2:B13;C2:C13;"Запад";D2:D13; "Сидоров")</t>
  </si>
  <si>
    <t>балл</t>
  </si>
  <si>
    <t>"=СУММЕСЛИМН(B2:B13;C2:C13;"Запад";D2:D13; "Сидоров";E2:E13;"1")</t>
  </si>
  <si>
    <r>
      <t>SUM</t>
    </r>
    <r>
      <rPr>
        <sz val="10"/>
        <color rgb="FF212529"/>
        <rFont val="Times New Roman"/>
        <family val="1"/>
        <charset val="204"/>
      </rPr>
      <t xml:space="preserve">,    </t>
    </r>
    <r>
      <rPr>
        <sz val="10"/>
        <color rgb="FFE83E8C"/>
        <rFont val="Times New Roman"/>
        <family val="1"/>
        <charset val="204"/>
      </rPr>
      <t>AVERAGE</t>
    </r>
    <r>
      <rPr>
        <sz val="10"/>
        <color rgb="FF212529"/>
        <rFont val="Times New Roman"/>
        <family val="1"/>
        <charset val="204"/>
      </rPr>
      <t xml:space="preserve">, </t>
    </r>
    <r>
      <rPr>
        <sz val="10"/>
        <color rgb="FFE83E8C"/>
        <rFont val="Times New Roman"/>
        <family val="1"/>
        <charset val="204"/>
      </rPr>
      <t>MIN</t>
    </r>
    <r>
      <rPr>
        <sz val="10"/>
        <color rgb="FF212529"/>
        <rFont val="Times New Roman"/>
        <family val="1"/>
        <charset val="204"/>
      </rPr>
      <t xml:space="preserve">, </t>
    </r>
    <r>
      <rPr>
        <sz val="10"/>
        <color rgb="FFE83E8C"/>
        <rFont val="Times New Roman"/>
        <family val="1"/>
        <charset val="204"/>
      </rPr>
      <t>MAX</t>
    </r>
    <r>
      <rPr>
        <sz val="10"/>
        <color rgb="FF212529"/>
        <rFont val="Times New Roman"/>
        <family val="1"/>
        <charset val="204"/>
      </rPr>
      <t xml:space="preserve">, </t>
    </r>
    <r>
      <rPr>
        <sz val="10"/>
        <color rgb="FF212529"/>
        <rFont val="Times New Roman"/>
        <family val="1"/>
        <charset val="204"/>
      </rPr>
      <t xml:space="preserve">   </t>
    </r>
    <r>
      <rPr>
        <sz val="10"/>
        <color rgb="FFE83E8C"/>
        <rFont val="Times New Roman"/>
        <family val="1"/>
        <charset val="204"/>
      </rPr>
      <t>SUMIF</t>
    </r>
    <r>
      <rPr>
        <sz val="10"/>
        <color rgb="FF212529"/>
        <rFont val="Times New Roman"/>
        <family val="1"/>
        <charset val="204"/>
      </rPr>
      <t xml:space="preserve">,         </t>
    </r>
    <r>
      <rPr>
        <sz val="10"/>
        <color rgb="FFE83E8C"/>
        <rFont val="Times New Roman"/>
        <family val="1"/>
        <charset val="204"/>
      </rPr>
      <t>SUMIFS</t>
    </r>
    <r>
      <rPr>
        <sz val="10"/>
        <color rgb="FF212529"/>
        <rFont val="Times New Roman"/>
        <family val="1"/>
        <charset val="204"/>
      </rPr>
      <t xml:space="preserve">. </t>
    </r>
  </si>
  <si>
    <t>COUNT, COUNTA, COUNTIF,  COUNTIFS</t>
  </si>
  <si>
    <r>
      <t>СУММ</t>
    </r>
    <r>
      <rPr>
        <sz val="9"/>
        <color rgb="FF212529"/>
        <rFont val="Times New Roman"/>
        <family val="1"/>
        <charset val="204"/>
      </rPr>
      <t xml:space="preserve"> ,</t>
    </r>
    <r>
      <rPr>
        <sz val="9"/>
        <color rgb="FF0070C0"/>
        <rFont val="Times New Roman"/>
        <family val="1"/>
        <charset val="204"/>
      </rPr>
      <t xml:space="preserve"> СРЗНАЧ,    МИН, МАКС, </t>
    </r>
    <r>
      <rPr>
        <b/>
        <sz val="9"/>
        <color rgb="FF212529"/>
        <rFont val="Segoe UI"/>
        <family val="2"/>
        <charset val="204"/>
      </rPr>
      <t xml:space="preserve"> </t>
    </r>
    <r>
      <rPr>
        <sz val="9"/>
        <color rgb="FF0070C0"/>
        <rFont val="Times New Roman"/>
        <family val="1"/>
        <charset val="204"/>
      </rPr>
      <t>СУММЕСЛИ, СУММЕСЛИМН</t>
    </r>
  </si>
  <si>
    <t>СЧЁТ,   СЧЁТЗ,   СЧЁТЕСЛИ, СЧЁТЕСЛИМН,</t>
  </si>
  <si>
    <t>"=СЧЁТ(E2:E6)</t>
  </si>
  <si>
    <t>"=СЧЁТЗ(E2:E6)</t>
  </si>
  <si>
    <t>"=СЧЁТЕСЛИ(A1:A6; "Россия")</t>
  </si>
  <si>
    <t>"=СЧЁТЕСЛИ(H2:I5;"")</t>
  </si>
  <si>
    <t>счет пустых ячеек в столбце</t>
  </si>
  <si>
    <t>счет пустых ячеек в диапазоне</t>
  </si>
  <si>
    <t>"=СЧЁТЕСЛИМН(A2:A6;"Россия";C2:C6;"&gt;2000000")</t>
  </si>
  <si>
    <t>Русский аналог</t>
  </si>
  <si>
    <t>Английский аналог</t>
  </si>
  <si>
    <t>СЦЕПИТЬ</t>
  </si>
  <si>
    <t>CONCATENATE</t>
  </si>
  <si>
    <t>Объединяет текстовые строки.</t>
  </si>
  <si>
    <t>&amp;</t>
  </si>
  <si>
    <t>Оператор объединения текста.</t>
  </si>
  <si>
    <t>ЛЕВСИМВ</t>
  </si>
  <si>
    <t>LEFT</t>
  </si>
  <si>
    <t>Извлекает символы с начала строки.</t>
  </si>
  <si>
    <t>ПРАВСИМВ</t>
  </si>
  <si>
    <t>RIGHT</t>
  </si>
  <si>
    <t>Извлекает символы с конца строки.</t>
  </si>
  <si>
    <t>ПСТР</t>
  </si>
  <si>
    <t>MID</t>
  </si>
  <si>
    <t>Извлекает символы из середины строки.</t>
  </si>
  <si>
    <t>ПОИСК</t>
  </si>
  <si>
    <t>SEARCH</t>
  </si>
  <si>
    <t>Находит позицию текста (без учета регистра).</t>
  </si>
  <si>
    <t>НАЙТИ</t>
  </si>
  <si>
    <t>FIND</t>
  </si>
  <si>
    <t>Находит позицию текста (с учетом регистра).</t>
  </si>
  <si>
    <t>ПОДСТАВИТЬ</t>
  </si>
  <si>
    <t>SUBSTITUTE</t>
  </si>
  <si>
    <t>Заменяет текст.</t>
  </si>
  <si>
    <t>ЗАМЕНИТЬ</t>
  </si>
  <si>
    <t>REPLACE</t>
  </si>
  <si>
    <t>Заменяет текст по позиции.</t>
  </si>
  <si>
    <t>ДЛСТР</t>
  </si>
  <si>
    <t>LEN</t>
  </si>
  <si>
    <t>Возвращает длину текста.</t>
  </si>
  <si>
    <t>ПРОПИСН</t>
  </si>
  <si>
    <t>UPPER</t>
  </si>
  <si>
    <t>Преобразует в верхний регистр.</t>
  </si>
  <si>
    <t>СТРОЧН</t>
  </si>
  <si>
    <t>LOWER</t>
  </si>
  <si>
    <t>Преобразует в нижний регистр.</t>
  </si>
  <si>
    <t>ПРОПНАЧ</t>
  </si>
  <si>
    <t>PROPER</t>
  </si>
  <si>
    <t>Преобразует первую букву каждого слова в верхний регистр.</t>
  </si>
  <si>
    <t>СЖПРОБЕЛЫ</t>
  </si>
  <si>
    <t>TRIM</t>
  </si>
  <si>
    <t>Удаляет лишние пробелы.</t>
  </si>
  <si>
    <t>"=ЛЕВСИМВ(A2;ПОИСК(" ";A2)-1)</t>
  </si>
  <si>
    <t>"=ЛЕВСИМВ(A2;6)</t>
  </si>
  <si>
    <t>"=ПРАВСИМВ(A2;9)</t>
  </si>
  <si>
    <t>учитывает регистр!</t>
  </si>
  <si>
    <t>регистр не важен!</t>
  </si>
  <si>
    <t>" =ПСТР(A2;ПОИСК(" ";A2)+1;ПОИСК(" ";A2;ПОИСК(" ";A2)+1)-ПОИСК(" ";A2)-1)</t>
  </si>
  <si>
    <t>"=ПСТР(A2;ПОИСК(" ";A2;ПОИСК(" ";A2)+1)+1;ДЛСТР(A2)-ПОИСК(" ";A2;ПОИСК(" ";A2)+1))</t>
  </si>
  <si>
    <t>длина</t>
  </si>
  <si>
    <t>"=ДЛСТР(A2)</t>
  </si>
  <si>
    <t>"=ПСТР(A2;ПОИСК("example";A2);12)"</t>
  </si>
  <si>
    <t>Север</t>
  </si>
  <si>
    <t>Юг</t>
  </si>
  <si>
    <t>Центр</t>
  </si>
  <si>
    <t>Севегров</t>
  </si>
  <si>
    <t>цель  рассмотреть  как работает  функция СЧЁТЕСЛИ</t>
  </si>
  <si>
    <t>Пример 1: Подсчет количества продаж в регионе “Север”</t>
  </si>
  <si>
    <t>"=СЧЁТЕСЛИ(A1:A10;"Север")"</t>
  </si>
  <si>
    <t>Пример 2: Подсчет количества продаж, превышающих 150</t>
  </si>
  <si>
    <t>"=СЧЁТЕСЛИ(B1:10;"&gt;150")"</t>
  </si>
  <si>
    <t>Пример 3: Использование ссылки на ячейку в качестве соотвествия  критерию</t>
  </si>
  <si>
    <t>"=СЧЁТЕСЛИ(B1:B10;D1)"</t>
  </si>
  <si>
    <t>Пример 4: Подсчет количества ячеек, содержащих определенный текст</t>
  </si>
  <si>
    <t>"=СЧЁТЕСЛИ(A1:A10;"*Сев*")"</t>
  </si>
  <si>
    <t>не учитывает регистр ,Подстановочные знаки:  * (любое кол-во любых символов) и ? (один любой символ) в поиске.</t>
  </si>
  <si>
    <t>Васечкин</t>
  </si>
  <si>
    <t>"=ЕСЛИ(И(B22&gt;3; C22&gt;=4); D22*0,1; 0)</t>
  </si>
  <si>
    <r>
      <t xml:space="preserve"> если их стаж работы больше 3 лет </t>
    </r>
    <r>
      <rPr>
        <b/>
        <sz val="11"/>
        <color theme="1"/>
        <rFont val="Times New Roman"/>
        <family val="1"/>
        <charset val="204"/>
      </rPr>
      <t>И</t>
    </r>
    <r>
      <rPr>
        <sz val="11"/>
        <color theme="1"/>
        <rFont val="Times New Roman"/>
        <family val="1"/>
        <charset val="204"/>
      </rPr>
      <t> оценка производительности больше или равна 4</t>
    </r>
  </si>
  <si>
    <r>
      <t>Премия выплачивается в размере 10% от зарплаты сотрудникам,</t>
    </r>
    <r>
      <rPr>
        <i/>
        <sz val="12"/>
        <color rgb="FF212529"/>
        <rFont val="Times New Roman"/>
        <family val="1"/>
        <charset val="204"/>
      </rPr>
      <t/>
    </r>
  </si>
  <si>
    <t>Пример 1: Расчет премии сотрудникам:</t>
  </si>
  <si>
    <t>Цель: Комбинирование логических функций</t>
  </si>
  <si>
    <t>Премия</t>
  </si>
  <si>
    <t>Зарплата</t>
  </si>
  <si>
    <t>Оценка производительности</t>
  </si>
  <si>
    <t>Стаж (лет)</t>
  </si>
  <si>
    <t>Практический пример</t>
  </si>
  <si>
    <t>"=ЕСЛИ(C2&gt;=5; "Отлично"; ЕСЛИ(C2&gt;=4; "Хорошо"; ЕСЛИ(C2&gt;=3; "Удовлетворительно"; ЕСЛИ(C2&gt;=2; "Посредственно"; "Неудовлетворительно"))))"</t>
  </si>
  <si>
    <t>5 вариант if мн</t>
  </si>
  <si>
    <t>"=ЕСЛИ(C2&gt;=4; "Сдал"; "Не сдал")"</t>
  </si>
  <si>
    <t>4- Если</t>
  </si>
  <si>
    <t>"=НЕ(B2&lt;3)"</t>
  </si>
  <si>
    <t>3- НЕ</t>
  </si>
  <si>
    <t>"=ИЛИ(B2&gt;=5; C2=5)"</t>
  </si>
  <si>
    <t>2- ИЛИ</t>
  </si>
  <si>
    <t>"=И(B2&gt;=3; C2&gt;=4)"</t>
  </si>
  <si>
    <t>1- И</t>
  </si>
  <si>
    <t xml:space="preserve"> цель рассмотреть варианты Логический формул</t>
  </si>
  <si>
    <t>если</t>
  </si>
  <si>
    <t>НЕ</t>
  </si>
  <si>
    <t>ИЛИ</t>
  </si>
  <si>
    <t>И</t>
  </si>
  <si>
    <t>Оценка</t>
  </si>
  <si>
    <t>Стаж</t>
  </si>
  <si>
    <t>Товар Е</t>
  </si>
  <si>
    <t>Товар Д</t>
  </si>
  <si>
    <t>Товар Г</t>
  </si>
  <si>
    <t>Товар В</t>
  </si>
  <si>
    <t>Товар Б</t>
  </si>
  <si>
    <t>"= ЕСЛИ(ЕПУСТО(B2); "Нет данных";B2)"</t>
  </si>
  <si>
    <t>Товар А</t>
  </si>
  <si>
    <r>
      <t>Задание: проверка пустоты</t>
    </r>
    <r>
      <rPr>
        <sz val="12"/>
        <color rgb="FF212529"/>
        <rFont val="Times New Roman"/>
        <family val="1"/>
        <charset val="204"/>
      </rPr>
      <t>х ячеек и замена</t>
    </r>
  </si>
  <si>
    <t>проверка</t>
  </si>
  <si>
    <t>Цена</t>
  </si>
  <si>
    <t>Товар</t>
  </si>
  <si>
    <t>Пример2</t>
  </si>
  <si>
    <t>"=ЕСЛИ(И(B2&gt;1000;C2&gt;10);"Премиум";ЕСЛИ(ИЛИ(B2&gt;500;C2&gt;20);"Стандарт";"Эконом"))"</t>
  </si>
  <si>
    <t>“Эконом”: Во всех остальных случаях.</t>
  </si>
  <si>
    <r>
      <t>“Стандарт”</t>
    </r>
    <r>
      <rPr>
        <sz val="11"/>
        <color rgb="FF212529"/>
        <rFont val="Times New Roman"/>
        <family val="1"/>
        <charset val="204"/>
      </rPr>
      <t>: Если цена </t>
    </r>
    <r>
      <rPr>
        <sz val="11"/>
        <color rgb="FF212529"/>
        <rFont val="Times New Roman"/>
        <family val="1"/>
        <charset val="204"/>
      </rPr>
      <t>больше 500</t>
    </r>
    <r>
      <rPr>
        <sz val="11"/>
        <color rgb="FF212529"/>
        <rFont val="Times New Roman"/>
        <family val="1"/>
        <charset val="204"/>
      </rPr>
      <t> ИЛИ количество </t>
    </r>
    <r>
      <rPr>
        <sz val="11"/>
        <color rgb="FF212529"/>
        <rFont val="Times New Roman"/>
        <family val="1"/>
        <charset val="204"/>
      </rPr>
      <t>больше 20</t>
    </r>
    <r>
      <rPr>
        <sz val="11"/>
        <color rgb="FF212529"/>
        <rFont val="Times New Roman"/>
        <family val="1"/>
        <charset val="204"/>
      </rPr>
      <t>.</t>
    </r>
  </si>
  <si>
    <r>
      <t>“Премиум”</t>
    </r>
    <r>
      <rPr>
        <sz val="11"/>
        <color rgb="FF212529"/>
        <rFont val="Times New Roman"/>
        <family val="1"/>
        <charset val="204"/>
      </rPr>
      <t>: Если цена </t>
    </r>
    <r>
      <rPr>
        <sz val="11"/>
        <color rgb="FF212529"/>
        <rFont val="Times New Roman"/>
        <family val="1"/>
        <charset val="204"/>
      </rPr>
      <t>больше 1000</t>
    </r>
    <r>
      <rPr>
        <sz val="11"/>
        <color rgb="FF212529"/>
        <rFont val="Times New Roman"/>
        <family val="1"/>
        <charset val="204"/>
      </rPr>
      <t> И количество </t>
    </r>
    <r>
      <rPr>
        <sz val="11"/>
        <color rgb="FF212529"/>
        <rFont val="Times New Roman"/>
        <family val="1"/>
        <charset val="204"/>
      </rPr>
      <t>больше 10</t>
    </r>
    <r>
      <rPr>
        <sz val="11"/>
        <color rgb="FF212529"/>
        <rFont val="Times New Roman"/>
        <family val="1"/>
        <charset val="204"/>
      </rPr>
      <t>.</t>
    </r>
  </si>
  <si>
    <t>Определить категорию товара на основе его цены и количества на складе:</t>
  </si>
  <si>
    <t>задача</t>
  </si>
  <si>
    <t>Категория</t>
  </si>
  <si>
    <t>Количество</t>
  </si>
  <si>
    <t>Пример1</t>
  </si>
  <si>
    <t>"=НОМНЕДЕЛИ(A19;1)"</t>
  </si>
  <si>
    <t>"=ЧИСТРАБДНИ(A18; A18+10)"</t>
  </si>
  <si>
    <t>Число</t>
  </si>
  <si>
    <t>рабочих дней(1 воскресение)</t>
  </si>
  <si>
    <t>"=ВРЕМЯ(15; 0; 0)"</t>
  </si>
  <si>
    <t>Час:Минута:Секунда</t>
  </si>
  <si>
    <t>час = 12:10</t>
  </si>
  <si>
    <t>минута</t>
  </si>
  <si>
    <t>секунда(зависит от формата)</t>
  </si>
  <si>
    <t>"=ДАТА(2025; 10; 1)"</t>
  </si>
  <si>
    <t>День.Месяц.Год</t>
  </si>
  <si>
    <t>год= вместе</t>
  </si>
  <si>
    <t>месяц</t>
  </si>
  <si>
    <t>год</t>
  </si>
  <si>
    <t>День.Месяц.Год Час:Минута:Секунда</t>
  </si>
  <si>
    <t>код</t>
  </si>
  <si>
    <t>Формат (если применен)</t>
  </si>
  <si>
    <t>пояснение</t>
  </si>
  <si>
    <t>Формула</t>
  </si>
  <si>
    <t>Исходная дата/время</t>
  </si>
  <si>
    <t>определение дня недели</t>
  </si>
  <si>
    <t>подсчет дней проекта всего и минус праздники</t>
  </si>
  <si>
    <t>цель практическое использование</t>
  </si>
  <si>
    <t>"=ЕСЛИ(ДЕНЬНЕД(A2; 2)=1; "Понедельник"; ЕСЛИ(ДЕНЬНЕД(A2; 2)=2; "Вторник"; ЕСЛИ(ДЕНЬНЕД(A2; 2)=3; "Среда"; ЕСЛИ(ДЕНЬНЕД(A2; 2)=4; "Четверг"; ЕСЛИ(ДЕНЬНЕД(A2; 2)=5; "Пятница"; ЕСЛИ(ДЕНЬНЕД(A2; 2)=6; "Суббота"; "Воскресенье"))))))"</t>
  </si>
  <si>
    <t>"=ДЕНЬНЕД(A2; 2)"</t>
  </si>
  <si>
    <t>"=ЧИСТРАБДНИ(A2;A3;A4:A6)"</t>
  </si>
  <si>
    <t>Число рабочих дней между датой начала (09.09.2025) и датой окончания (15.11.2025) с вычетом 3 праздничных дней.</t>
  </si>
  <si>
    <t>"=ЧИСТРАБДНИ(A2;A3;A4)"</t>
  </si>
  <si>
    <t>Число рабочих дней между датой начала (09.09.2025) и датой окончания (15.11.2025) с вычетом праздничного дня 04.11.2025 как выходного.</t>
  </si>
  <si>
    <t>"=ЧИСТРАБДНИ(A2;A3)"</t>
  </si>
  <si>
    <t>Число рабочих дней между датой начала (09.09.2025) и датой окончания (15.11.2025).</t>
  </si>
  <si>
    <t>Праздник</t>
  </si>
  <si>
    <t>Дата окончания проекта</t>
  </si>
  <si>
    <t>Дата начала проекта</t>
  </si>
  <si>
    <t>Дата</t>
  </si>
  <si>
    <t>"="Отчет составлен: "&amp;ТЕКСТ(СЕГОДНЯ();"дддд, дд ММММ гггг")"</t>
  </si>
  <si>
    <t>вывод инфо о дне</t>
  </si>
  <si>
    <t>"=РАЗНДАТ(A21; СЕГОДНЯ(); "Y")"</t>
  </si>
  <si>
    <t>кол-во дней- годы и месяцы</t>
  </si>
  <si>
    <t>кол-во дней- годы</t>
  </si>
  <si>
    <t>кол-во месяцев- годы</t>
  </si>
  <si>
    <t>день</t>
  </si>
  <si>
    <t>года</t>
  </si>
  <si>
    <t>разница дат</t>
  </si>
  <si>
    <t>3- найти значение  по индексу  ячейки</t>
  </si>
  <si>
    <t>2- найти продажи за март</t>
  </si>
  <si>
    <t>цель  рассмотреть функции поиска и ссылок</t>
  </si>
  <si>
    <t>Рыба</t>
  </si>
  <si>
    <t>Мясо</t>
  </si>
  <si>
    <t>Овощи</t>
  </si>
  <si>
    <t>Фрукты</t>
  </si>
  <si>
    <t>Масло</t>
  </si>
  <si>
    <t>Яйца</t>
  </si>
  <si>
    <t>Хлеб</t>
  </si>
  <si>
    <t>Молоко</t>
  </si>
  <si>
    <t>Наименование</t>
  </si>
  <si>
    <t>ID товара</t>
  </si>
  <si>
    <t>5-- Найти отдел сотр. с ID 2.из вертикал. таб</t>
  </si>
  <si>
    <t>4-- Найти отдел сотр. с ID 2.из горизонтальной таб</t>
  </si>
  <si>
    <t>3- Найти должность сотрудника с ID 2.с индексом</t>
  </si>
  <si>
    <t>1-  Найти должность сотрудника с ID 3.</t>
  </si>
  <si>
    <t>Маркетинг</t>
  </si>
  <si>
    <t>Cтажер</t>
  </si>
  <si>
    <t xml:space="preserve">Задача: </t>
  </si>
  <si>
    <t>IT</t>
  </si>
  <si>
    <t>Тестировщик</t>
  </si>
  <si>
    <t>Разработчик</t>
  </si>
  <si>
    <t>Васечкин В.В.</t>
  </si>
  <si>
    <t>отдел</t>
  </si>
  <si>
    <t>Премия (%)</t>
  </si>
  <si>
    <t>должность</t>
  </si>
  <si>
    <t>Смирнов А.А.</t>
  </si>
  <si>
    <t>Сидоров С.С.</t>
  </si>
  <si>
    <t>Петров П.П.</t>
  </si>
  <si>
    <t>Иванов И.И.</t>
  </si>
  <si>
    <t>ID сотрудника</t>
  </si>
  <si>
    <t xml:space="preserve"> таким образом мы комбинируем расчет и обработку ошибки</t>
  </si>
  <si>
    <t>"=ЕСЛИОШИБКА(ИНДЕКС(C1:C5;  ПОИСКПОЗ(3; A1:A5;  0));"Сотрудника нет")</t>
  </si>
  <si>
    <t>"=ЕСЛИОШИБКА(ВПР(5;A1:D5;3;ЛОЖЬ);"Сотрудника нет")</t>
  </si>
  <si>
    <t>"=ВПР(5;A1:D5;3;ЛОЖЬ)</t>
  </si>
  <si>
    <t>4) обработка ошибок</t>
  </si>
  <si>
    <t xml:space="preserve"> формула ВПР сбита результат 0 ,  а формула с Индекс работает</t>
  </si>
  <si>
    <t>пробуем посмотреть на результат теперь</t>
  </si>
  <si>
    <r>
      <t xml:space="preserve">2) добавляем </t>
    </r>
    <r>
      <rPr>
        <b/>
        <sz val="11"/>
        <color theme="1"/>
        <rFont val="Calibri"/>
        <family val="2"/>
        <charset val="204"/>
        <scheme val="minor"/>
      </rPr>
      <t>столбец дата</t>
    </r>
    <r>
      <rPr>
        <sz val="11"/>
        <color theme="1"/>
        <rFont val="Calibri"/>
        <family val="2"/>
        <charset val="204"/>
        <scheme val="minor"/>
      </rPr>
      <t xml:space="preserve"> между фио и должность </t>
    </r>
  </si>
  <si>
    <t>одинаковый результат у двух разных формул</t>
  </si>
  <si>
    <t>"=ИНДЕКС(C1:C5;  ПОИСКПОЗ(3; A1:A5;  0))</t>
  </si>
  <si>
    <t>"=ВПР(3;A1:D5;3;ЛОЖЬ)</t>
  </si>
  <si>
    <t>1) Найти должность сотрудника с ID 3</t>
  </si>
  <si>
    <t>это наш диапазон выбор</t>
  </si>
  <si>
    <t>зарплата</t>
  </si>
  <si>
    <t>" F1= выбор</t>
  </si>
  <si>
    <t>Малина</t>
  </si>
  <si>
    <t>Ягоды</t>
  </si>
  <si>
    <t>Клубника</t>
  </si>
  <si>
    <t>Помидор</t>
  </si>
  <si>
    <t>Огурец</t>
  </si>
  <si>
    <t>Морковь</t>
  </si>
  <si>
    <t>Апельсин</t>
  </si>
  <si>
    <t>Банан</t>
  </si>
  <si>
    <t>Яблоко</t>
  </si>
  <si>
    <t>Продукт</t>
  </si>
  <si>
    <t>овощи</t>
  </si>
  <si>
    <t>фрукты</t>
  </si>
  <si>
    <t>Америка_Канада C12:C13</t>
  </si>
  <si>
    <t>Америка_США C10:C11</t>
  </si>
  <si>
    <t>Азия_Япония C8:C9</t>
  </si>
  <si>
    <t>Азия_Китай  C6:C7</t>
  </si>
  <si>
    <t>Европа_Франция C4:C5</t>
  </si>
  <si>
    <t>Европа_Германия C2:C3</t>
  </si>
  <si>
    <t>Америка B10:B13</t>
  </si>
  <si>
    <t>Азия B6:B9</t>
  </si>
  <si>
    <t>Европа B2:B5</t>
  </si>
  <si>
    <t xml:space="preserve">Континент A2:A13 </t>
  </si>
  <si>
    <t>списки:</t>
  </si>
  <si>
    <t>Нью-Йорк</t>
  </si>
  <si>
    <t>США</t>
  </si>
  <si>
    <t>Америка</t>
  </si>
  <si>
    <t>Ванкувер</t>
  </si>
  <si>
    <t>Канада</t>
  </si>
  <si>
    <t>Торонто</t>
  </si>
  <si>
    <t xml:space="preserve">Лос-Анджелес </t>
  </si>
  <si>
    <t>Киото</t>
  </si>
  <si>
    <t xml:space="preserve">Япония </t>
  </si>
  <si>
    <t>Азия</t>
  </si>
  <si>
    <t>Токио</t>
  </si>
  <si>
    <t>Шанхай</t>
  </si>
  <si>
    <t xml:space="preserve">Китай </t>
  </si>
  <si>
    <t>Пекин</t>
  </si>
  <si>
    <t xml:space="preserve">Марсель </t>
  </si>
  <si>
    <t>Европа</t>
  </si>
  <si>
    <t xml:space="preserve">Париж </t>
  </si>
  <si>
    <t>Мюнхен</t>
  </si>
  <si>
    <t xml:space="preserve">Германия </t>
  </si>
  <si>
    <t>клиент</t>
  </si>
  <si>
    <t xml:space="preserve">Страна </t>
  </si>
  <si>
    <t>Континент</t>
  </si>
  <si>
    <t>Яблоки</t>
  </si>
  <si>
    <t>Фрукт</t>
  </si>
  <si>
    <t>Лимоны</t>
  </si>
  <si>
    <t>Бананы</t>
  </si>
  <si>
    <t>Апельсины</t>
  </si>
  <si>
    <t>"=ПРАВСИМВ(ИНДЕКС(список_листов;СТРОКА());ДЛСТР(ИНДЕКС(список_листов;СТРОКА()))-ПОИСК("]";ИНДЕКС(список_листов;СТРОКА())))</t>
  </si>
  <si>
    <t>получить.рабочую.книгу()GET.WORKBOOK()</t>
  </si>
  <si>
    <t xml:space="preserve">используем макрофункцию </t>
  </si>
  <si>
    <t xml:space="preserve"> список_листов </t>
  </si>
  <si>
    <t xml:space="preserve">имя= </t>
  </si>
  <si>
    <t>получить.рабочую.книгу(1)</t>
  </si>
  <si>
    <t>диапазон=</t>
  </si>
  <si>
    <t>"=ИНДЕКС(список_листов;СТРОКА())</t>
  </si>
  <si>
    <t>получаем только имя листа</t>
  </si>
  <si>
    <t>"=ПРАВСИМВ(ИНДЕКС(список_листов;СТРОКА());
ДЛСТР(ИНДЕКС(список_листов;СТРОКА()))-ПОИСК("]";ИНДЕКС(список_листов;СТРОКА())))</t>
  </si>
  <si>
    <t>"=ВРЕМЯ(A14; A13;A12)</t>
  </si>
  <si>
    <t>"=СЕГОДНЯ()</t>
  </si>
  <si>
    <t>"=ТДАТА()</t>
  </si>
  <si>
    <t>"=ГОД(A5)</t>
  </si>
  <si>
    <t>"=МЕСЯЦ(A5)</t>
  </si>
  <si>
    <t>"=ДЕНЬ(A5)</t>
  </si>
  <si>
    <t>"=ДАТА(A10; A9;A8)</t>
  </si>
  <si>
    <t>определение по дате сколь-ко лет сотруднику</t>
  </si>
  <si>
    <t>"=СРЗНАЧ(B2:B13)</t>
  </si>
  <si>
    <t>"=СУММ(B2:B13)</t>
  </si>
  <si>
    <t>"=МИН(B2:B13)</t>
  </si>
  <si>
    <t>"=МАКС(B2:B14)</t>
  </si>
  <si>
    <t>"=СУММЕСЛИ(C2:C13;"Запад";B2:B13)</t>
  </si>
  <si>
    <t>!ищет только справа</t>
  </si>
  <si>
    <t>Вертикальный поиск</t>
  </si>
  <si>
    <t>"=ВПР(103; A1:C9; 3; ЛОЖЬ)</t>
  </si>
  <si>
    <t>"=ГПР("Март"; G1:K2; 2; ЛОЖЬ)</t>
  </si>
  <si>
    <t>"=ИНДЕКС( A2:C9;4;2)</t>
  </si>
  <si>
    <r>
      <t>TRUE</t>
    </r>
    <r>
      <rPr>
        <sz val="10"/>
        <color rgb="FF212529"/>
        <rFont val="Times New Roman"/>
        <family val="1"/>
        <charset val="204"/>
      </rPr>
      <t> (или опущено): Приблизительное соответствие</t>
    </r>
  </si>
  <si>
    <r>
      <rPr>
        <sz val="10"/>
        <color rgb="FFE83E8C"/>
        <rFont val="Times New Roman"/>
        <family val="1"/>
        <charset val="204"/>
      </rPr>
      <t>FALSE</t>
    </r>
    <r>
      <rPr>
        <sz val="10"/>
        <color rgb="FF212529"/>
        <rFont val="Times New Roman"/>
        <family val="1"/>
        <charset val="204"/>
      </rPr>
      <t>: Точное соответствие. Рекомендуется использовать </t>
    </r>
    <r>
      <rPr>
        <sz val="10"/>
        <color rgb="FFE83E8C"/>
        <rFont val="Times New Roman"/>
        <family val="1"/>
        <charset val="204"/>
      </rPr>
      <t>FALSE</t>
    </r>
    <r>
      <rPr>
        <sz val="10"/>
        <color rgb="FF212529"/>
        <rFont val="Times New Roman"/>
        <family val="1"/>
        <charset val="204"/>
      </rPr>
      <t> для большинства задач.</t>
    </r>
  </si>
  <si>
    <t>Искать вертикально (позицию; в диапазоне;  3 столбец;полное соотвествие)</t>
  </si>
  <si>
    <t>Горизонтальный поиск</t>
  </si>
  <si>
    <t>Закупки</t>
  </si>
  <si>
    <t>Искать горизонтально( позицию; в диапазоне;2;полное соотвествие)</t>
  </si>
  <si>
    <t>Возвращает значение ячейки(из диапазона; строки ;столбца)</t>
  </si>
  <si>
    <t>По всему массиву</t>
  </si>
  <si>
    <t>"=ИНДЕКС( A2:C9;5;2)</t>
  </si>
  <si>
    <t>"=ИНДЕКС( A1:C9;5;2)</t>
  </si>
  <si>
    <t>A1:C9</t>
  </si>
  <si>
    <t>A2:C9</t>
  </si>
  <si>
    <t>"=ПОИСКПОЗ(103;A2:A9)</t>
  </si>
  <si>
    <t>ищет в столбце</t>
  </si>
  <si>
    <t>ищет вниз</t>
  </si>
  <si>
    <t>4- найти в какой позиции находится 104</t>
  </si>
  <si>
    <t>1-  найти цену товара с ID 104</t>
  </si>
  <si>
    <t>Поиск индекса в массиве</t>
  </si>
  <si>
    <t xml:space="preserve">ВПР,            ГПР,          ИНДЕКС, ПОИСКПОЗ, ИСТИНА, ЛОЖЬ, ЕСЛИ,  И,  ИЛИ, </t>
  </si>
  <si>
    <t>VLOOKUP , HLOOKUP, INDEX, MATCH,        TRUE,       FALSE,      IF, AND, OR</t>
  </si>
  <si>
    <t>TODAY,     TEXT, ISBLANK ,DATEDIF</t>
  </si>
  <si>
    <t>СЕГОДНЯ, ТЕКСТ, ЕПУСТО, РАЗНДАТ.</t>
  </si>
  <si>
    <t>Разделитель аргументов: Анг- запятая(,) рус- обычно точка с запятой (;)</t>
  </si>
  <si>
    <r>
      <t xml:space="preserve"> </t>
    </r>
    <r>
      <rPr>
        <b/>
        <sz val="9"/>
        <color rgb="FF212529"/>
        <rFont val="Times New Roman"/>
        <family val="1"/>
        <charset val="204"/>
      </rPr>
      <t>1</t>
    </r>
    <r>
      <rPr>
        <sz val="9"/>
        <color rgb="FF212529"/>
        <rFont val="Times New Roman"/>
        <family val="1"/>
        <charset val="204"/>
      </rPr>
      <t xml:space="preserve"> (по умолчанию): Находит наибольшее значение, которое меньше или равно искомому_значению. Массив должен быть отсортирован по возрастанию.</t>
    </r>
  </si>
  <si>
    <r>
      <t xml:space="preserve"> </t>
    </r>
    <r>
      <rPr>
        <b/>
        <sz val="9"/>
        <color rgb="FF212529"/>
        <rFont val="Times New Roman"/>
        <family val="1"/>
        <charset val="204"/>
      </rPr>
      <t>0</t>
    </r>
    <r>
      <rPr>
        <sz val="9"/>
        <color rgb="FF212529"/>
        <rFont val="Times New Roman"/>
        <family val="1"/>
        <charset val="204"/>
      </rPr>
      <t>: Находит первое значение, точно соответствующее искомому_значению.</t>
    </r>
  </si>
  <si>
    <r>
      <t xml:space="preserve"> </t>
    </r>
    <r>
      <rPr>
        <b/>
        <sz val="9"/>
        <color rgb="FF212529"/>
        <rFont val="Times New Roman"/>
        <family val="1"/>
        <charset val="204"/>
      </rPr>
      <t>-1</t>
    </r>
    <r>
      <rPr>
        <sz val="9"/>
        <color rgb="FF212529"/>
        <rFont val="Times New Roman"/>
        <family val="1"/>
        <charset val="204"/>
      </rPr>
      <t>: Находит наименьшее значение, которое больше или равно искомому_значению. Массив должен быть отсортирован по убыванию.</t>
    </r>
  </si>
  <si>
    <t>2- Найти премию отдела сотрудника с ID 3.</t>
  </si>
  <si>
    <t>"=ВПР(3; A2:D6; 3; ЛОЖЬ)</t>
  </si>
  <si>
    <t>"=ИНДЕКС(C1:C6; ПОИСКПОЗ(2; A1:A6; 0))</t>
  </si>
  <si>
    <t>"=ИНДЕКС(E3:J3; ПОИСКПОЗ(ИНДЕКС(C1:C6; ПОИСКПОЗ(2; A1:A6; 0));E1:J1; 0))</t>
  </si>
  <si>
    <r>
      <t xml:space="preserve">"=ГПР(D12;E1:J2;2; ЛОЖЬ) </t>
    </r>
    <r>
      <rPr>
        <sz val="11"/>
        <color theme="1" tint="4.9989318521683403E-2"/>
        <rFont val="Calibri"/>
        <family val="2"/>
        <charset val="204"/>
        <scheme val="minor"/>
      </rPr>
      <t xml:space="preserve">  преобразовали из </t>
    </r>
    <r>
      <rPr>
        <sz val="11"/>
        <color rgb="FF0070C0"/>
        <rFont val="Calibri"/>
        <family val="2"/>
        <charset val="204"/>
        <scheme val="minor"/>
      </rPr>
      <t xml:space="preserve">  =ГПР("Разработчик";E1:J2;2; ЛОЖЬ)</t>
    </r>
  </si>
  <si>
    <t>найди индекс в синей Аналитика</t>
  </si>
  <si>
    <t xml:space="preserve"> поиск, где номер 2 ? =&gt;3 ,  Индекс покажи позицию 3=&gt; аналитик</t>
  </si>
  <si>
    <t>найди индекс в красной  id2</t>
  </si>
  <si>
    <t>"=ИНДЕКС(J5:J10; ПОИСКПОЗ(ИНДЕКС(C1:C6; ПОИСКПОЗ(2; A1:A6; 0));H5:H10; 0))</t>
  </si>
  <si>
    <t>найди индекс в зеленой Аналитика</t>
  </si>
  <si>
    <t xml:space="preserve">ID </t>
  </si>
  <si>
    <t>получаем только листы</t>
  </si>
  <si>
    <t>наши действия</t>
  </si>
  <si>
    <t>1) Создаем диапазон:</t>
  </si>
  <si>
    <t>2)Получение результата функции</t>
  </si>
  <si>
    <t>Цель: понять как создается простой список</t>
  </si>
  <si>
    <t>Создаем список который должен будет выбираться</t>
  </si>
  <si>
    <t>Данные-Работа с данными-Проверка данных</t>
  </si>
  <si>
    <t>Тип данных =&gt;Список</t>
  </si>
  <si>
    <t>ок</t>
  </si>
  <si>
    <t>список простой</t>
  </si>
  <si>
    <t>Выберите ячейку, где вы хотите создать выпадающий список (например,A1).</t>
  </si>
  <si>
    <t>Персик</t>
  </si>
  <si>
    <t>Груша</t>
  </si>
  <si>
    <t>Источник  =$O$2:$O$6</t>
  </si>
  <si>
    <t>2 список на основе диапазона</t>
  </si>
  <si>
    <t>грузовик</t>
  </si>
  <si>
    <t xml:space="preserve">самолет </t>
  </si>
  <si>
    <t>вертолет</t>
  </si>
  <si>
    <t>корабль</t>
  </si>
  <si>
    <t>машина</t>
  </si>
  <si>
    <t>для диапазона</t>
  </si>
  <si>
    <t xml:space="preserve"> Выделите ячейки приготовленные для диапазона(O13:O17)</t>
  </si>
  <si>
    <r>
      <t>1.</t>
    </r>
    <r>
      <rPr>
        <sz val="7"/>
        <color rgb="FF212529"/>
        <rFont val="Times New Roman"/>
        <family val="1"/>
        <charset val="204"/>
      </rPr>
      <t xml:space="preserve">    </t>
    </r>
    <r>
      <rPr>
        <b/>
        <sz val="12"/>
        <color rgb="FF212529"/>
        <rFont val="Times New Roman"/>
        <family val="1"/>
        <charset val="204"/>
      </rPr>
      <t>Создайте именованный диапазон:</t>
    </r>
  </si>
  <si>
    <t>2. Повторите как и при простом списке, но в источнике укажите имя =машины</t>
  </si>
  <si>
    <t>Цель: понять как создается зависимый список</t>
  </si>
  <si>
    <r>
      <t>создайте диапазон с именем</t>
    </r>
    <r>
      <rPr>
        <b/>
        <sz val="12"/>
        <color rgb="FF212529"/>
        <rFont val="Times New Roman"/>
        <family val="1"/>
        <charset val="204"/>
      </rPr>
      <t xml:space="preserve"> "машины"</t>
    </r>
  </si>
  <si>
    <t>диапазоны</t>
  </si>
  <si>
    <t>категория</t>
  </si>
  <si>
    <t>выбрать ячейку где будет категория (первый список)например A1</t>
  </si>
  <si>
    <t>выбрать ячейку где будет выбор  (второй список)например В1</t>
  </si>
  <si>
    <t xml:space="preserve">"=ДВССЫЛ(A1) </t>
  </si>
  <si>
    <t>Данные-проверка данных- тип= список</t>
  </si>
  <si>
    <t>Данные-проверка данных- тип= список, источник =$O$6:$O$7</t>
  </si>
  <si>
    <t>Создаем простой список</t>
  </si>
  <si>
    <t>источник =ДВССЫЛ(A1)  (где A1 - ячейка с первым списком).</t>
  </si>
  <si>
    <t>Категория_фруктов</t>
  </si>
  <si>
    <r>
      <t xml:space="preserve"> Создайте именованный</t>
    </r>
    <r>
      <rPr>
        <b/>
        <sz val="10"/>
        <color rgb="FFC00000"/>
        <rFont val="Times New Roman"/>
        <family val="1"/>
        <charset val="204"/>
      </rPr>
      <t xml:space="preserve"> диапазон овощи</t>
    </r>
  </si>
  <si>
    <r>
      <t xml:space="preserve"> Создайте именованный </t>
    </r>
    <r>
      <rPr>
        <b/>
        <sz val="10"/>
        <color rgb="FF0070C0"/>
        <rFont val="Times New Roman"/>
        <family val="1"/>
        <charset val="204"/>
      </rPr>
      <t>диапазон фрукты</t>
    </r>
    <r>
      <rPr>
        <sz val="10"/>
        <color theme="1"/>
        <rFont val="Times New Roman"/>
        <family val="1"/>
        <charset val="204"/>
      </rPr>
      <t xml:space="preserve"> </t>
    </r>
  </si>
  <si>
    <t xml:space="preserve">Динамическое определение диапазонов с функцией СЧЁТЕСЛИ </t>
  </si>
  <si>
    <t>Создаем списки которые должны будут выбираться</t>
  </si>
  <si>
    <r>
      <t xml:space="preserve"> Создайте именованный </t>
    </r>
    <r>
      <rPr>
        <b/>
        <sz val="10"/>
        <color theme="9" tint="-0.499984740745262"/>
        <rFont val="Times New Roman"/>
        <family val="1"/>
        <charset val="204"/>
      </rPr>
      <t>диапазон СписокКатегорий</t>
    </r>
  </si>
  <si>
    <t>Данные-проверка данных- тип= список, источник =СписокКатегорий</t>
  </si>
  <si>
    <t>источник =СМЕЩ($B$1;ПОИСКПОЗ($C$1;$A:$A;0)-1;;СЧЁТЕСЛИ($A:$A;$C$1);1)</t>
  </si>
  <si>
    <t>Создаем зависимый список</t>
  </si>
  <si>
    <t>Разбор формулы:</t>
  </si>
  <si>
    <t>"=СМЕЩ($B$1;ПОИСКПОЗ($C$1;$A:$A;0)-1;;СЧЁТЕСЛИ($A:$A;$C$1);1)</t>
  </si>
  <si>
    <t>зайти в список открыть первый фрукт</t>
  </si>
  <si>
    <t xml:space="preserve"> Ищет выбранную категорию (из ячейки C1) в столбце A. Возвращает номер строки, где эта категория встречается впервые.</t>
  </si>
  <si>
    <t>-1: Смещаемся на одну строку вверх, чтобы начать отсчет с первой строки, где начинается нужная категория.</t>
  </si>
  <si>
    <t xml:space="preserve">ПОИСКПОЗ($C$1;$A:$A;0)-1: </t>
  </si>
  <si>
    <r>
      <t>СМЕЩ($B$1; ...)</t>
    </r>
    <r>
      <rPr>
        <sz val="11"/>
        <color theme="1"/>
        <rFont val="Calibri"/>
        <family val="2"/>
        <charset val="204"/>
        <scheme val="minor"/>
      </rPr>
      <t>: Начальная точка отсчета - ячейка B1 (заголовок столбца “Продукт”).</t>
    </r>
  </si>
  <si>
    <t>СЧЁТЕСЛИ($A:$A;$C$1):</t>
  </si>
  <si>
    <t>Считает, сколько раз выбранная категория встречается в столбце A. Это определяет высоту (количество строк) диапазона продуктов для этой категории.</t>
  </si>
  <si>
    <r>
      <rPr>
        <sz val="7"/>
        <color rgb="FF212529"/>
        <rFont val="Times New Roman"/>
        <family val="1"/>
        <charset val="204"/>
      </rPr>
      <t xml:space="preserve"> </t>
    </r>
    <r>
      <rPr>
        <sz val="12"/>
        <color rgb="FFE83E8C"/>
        <rFont val="Times New Roman"/>
        <family val="1"/>
        <charset val="204"/>
      </rPr>
      <t>1</t>
    </r>
    <r>
      <rPr>
        <sz val="12"/>
        <color rgb="FF212529"/>
        <rFont val="Times New Roman"/>
        <family val="1"/>
        <charset val="204"/>
      </rPr>
      <t> (последний аргумент </t>
    </r>
    <r>
      <rPr>
        <sz val="12"/>
        <color rgb="FFE83E8C"/>
        <rFont val="Times New Roman"/>
        <family val="1"/>
        <charset val="204"/>
      </rPr>
      <t>СМЕЩ</t>
    </r>
    <r>
      <rPr>
        <sz val="12"/>
        <color rgb="FF212529"/>
        <rFont val="Times New Roman"/>
        <family val="1"/>
        <charset val="204"/>
      </rPr>
      <t>): Ширина диапазона - 1 столбец (столбец “Продукт”).</t>
    </r>
  </si>
  <si>
    <t>работает в одной ячеке</t>
  </si>
  <si>
    <t>Практический пример зависимого списка в деле с 3 уровнями</t>
  </si>
  <si>
    <t xml:space="preserve">создаем диапазоны </t>
  </si>
  <si>
    <t>"=ДВССЫЛ(F2)</t>
  </si>
  <si>
    <t>"= Континент</t>
  </si>
  <si>
    <t>"=ДВССЫЛ(E1&amp;"_"&amp;F1)</t>
  </si>
  <si>
    <t>Первый список (Континент):</t>
  </si>
  <si>
    <t xml:space="preserve">Второй список (Страна): </t>
  </si>
  <si>
    <t>Третий список(Город)</t>
  </si>
  <si>
    <r>
      <t>В английской версии используйте: </t>
    </r>
    <r>
      <rPr>
        <sz val="11"/>
        <color rgb="FFE83E8C"/>
        <rFont val="Times New Roman"/>
        <family val="1"/>
        <charset val="204"/>
      </rPr>
      <t>=INDIRECT(E1)</t>
    </r>
    <r>
      <rPr>
        <sz val="11"/>
        <color rgb="FF212529"/>
        <rFont val="Times New Roman"/>
        <family val="1"/>
        <charset val="204"/>
      </rPr>
      <t> </t>
    </r>
  </si>
  <si>
    <r>
      <t>Тип данных: “Список”- Источник: </t>
    </r>
    <r>
      <rPr>
        <sz val="11"/>
        <color rgb="FF0070C0"/>
        <rFont val="Times New Roman"/>
        <family val="1"/>
        <charset val="204"/>
      </rPr>
      <t>=ДВССЫЛ(E1&amp;"_"&amp;F1)</t>
    </r>
  </si>
  <si>
    <r>
      <t>Тип данных: “Список” , Источник: </t>
    </r>
    <r>
      <rPr>
        <sz val="11"/>
        <color rgb="FF0070C0"/>
        <rFont val="Times New Roman"/>
        <family val="1"/>
        <charset val="204"/>
      </rPr>
      <t>=ДВССЫЛ(E1) </t>
    </r>
  </si>
  <si>
    <r>
      <t>Тип данных: “Список”- Источник: </t>
    </r>
    <r>
      <rPr>
        <sz val="11"/>
        <color rgb="FF0070C0"/>
        <rFont val="Times New Roman"/>
        <family val="1"/>
        <charset val="204"/>
      </rPr>
      <t>=Континенты</t>
    </r>
  </si>
  <si>
    <r>
      <t>Выберите ячейк</t>
    </r>
    <r>
      <rPr>
        <sz val="11"/>
        <rFont val="Times New Roman"/>
        <family val="1"/>
        <charset val="204"/>
      </rPr>
      <t>у E1</t>
    </r>
    <r>
      <rPr>
        <sz val="11"/>
        <color rgb="FF212529"/>
        <rFont val="Times New Roman"/>
        <family val="1"/>
        <charset val="204"/>
      </rPr>
      <t>.-“Данные” -&gt; “Проверка данных”.</t>
    </r>
  </si>
  <si>
    <r>
      <t>Выберите ячейк</t>
    </r>
    <r>
      <rPr>
        <sz val="11"/>
        <rFont val="Times New Roman"/>
        <family val="1"/>
        <charset val="204"/>
      </rPr>
      <t>у F1</t>
    </r>
    <r>
      <rPr>
        <sz val="11"/>
        <color rgb="FF212529"/>
        <rFont val="Times New Roman"/>
        <family val="1"/>
        <charset val="204"/>
      </rPr>
      <t>- “Данные” -&gt; “Проверка данных”.</t>
    </r>
  </si>
  <si>
    <r>
      <t>Выберите ячейк</t>
    </r>
    <r>
      <rPr>
        <sz val="11"/>
        <rFont val="Times New Roman"/>
        <family val="1"/>
        <charset val="204"/>
      </rPr>
      <t>у G1.-“</t>
    </r>
    <r>
      <rPr>
        <sz val="11"/>
        <color rgb="FF212529"/>
        <rFont val="Times New Roman"/>
        <family val="1"/>
        <charset val="204"/>
      </rPr>
      <t>Данные” -&gt; “Проверка данных”.</t>
    </r>
  </si>
  <si>
    <t>цель использование списка</t>
  </si>
  <si>
    <t xml:space="preserve">Подсчитываем сумму того продукта который выбрали  </t>
  </si>
  <si>
    <r>
      <t xml:space="preserve"> </t>
    </r>
    <r>
      <rPr>
        <sz val="12"/>
        <rFont val="Times New Roman"/>
        <family val="1"/>
        <charset val="204"/>
      </rPr>
      <t xml:space="preserve">ищет название в  </t>
    </r>
    <r>
      <rPr>
        <sz val="12"/>
        <color rgb="FFEE0000"/>
        <rFont val="Times New Roman"/>
        <family val="1"/>
        <charset val="204"/>
      </rPr>
      <t xml:space="preserve">A2:A13 </t>
    </r>
    <r>
      <rPr>
        <sz val="12"/>
        <rFont val="Times New Roman"/>
        <family val="1"/>
        <charset val="204"/>
      </rPr>
      <t xml:space="preserve">равное тому что в </t>
    </r>
    <r>
      <rPr>
        <sz val="12"/>
        <color rgb="FF0070C0"/>
        <rFont val="Times New Roman"/>
        <family val="1"/>
        <charset val="204"/>
      </rPr>
      <t xml:space="preserve">A16 </t>
    </r>
    <r>
      <rPr>
        <sz val="12"/>
        <rFont val="Times New Roman"/>
        <family val="1"/>
        <charset val="204"/>
      </rPr>
      <t xml:space="preserve">,считает  из столбца </t>
    </r>
    <r>
      <rPr>
        <sz val="12"/>
        <color rgb="FF00B050"/>
        <rFont val="Times New Roman"/>
        <family val="1"/>
        <charset val="204"/>
      </rPr>
      <t>B2:B13</t>
    </r>
  </si>
  <si>
    <t>"=СУММЕСЛИ(A2:A13;A16;B2:B13)</t>
  </si>
  <si>
    <t xml:space="preserve"> в ячейке для суммы вставляем формулу</t>
  </si>
  <si>
    <t xml:space="preserve">создаем в сторонке список фруктов </t>
  </si>
  <si>
    <t>в ячейке A15 создаем список  источник=$O$2:$O$5</t>
  </si>
  <si>
    <r>
      <t>#DIV/0!</t>
    </r>
    <r>
      <rPr>
        <b/>
        <sz val="12"/>
        <color rgb="FF212529"/>
        <rFont val="Times New Roman"/>
        <family val="1"/>
        <charset val="204"/>
      </rPr>
      <t>:</t>
    </r>
    <r>
      <rPr>
        <sz val="12"/>
        <color rgb="FF212529"/>
        <rFont val="Times New Roman"/>
        <family val="1"/>
        <charset val="204"/>
      </rPr>
      <t> Деление на ноль.</t>
    </r>
  </si>
  <si>
    <r>
      <t>#VALUE!</t>
    </r>
    <r>
      <rPr>
        <b/>
        <sz val="12"/>
        <color rgb="FF212529"/>
        <rFont val="Times New Roman"/>
        <family val="1"/>
        <charset val="204"/>
      </rPr>
      <t>:</t>
    </r>
    <r>
      <rPr>
        <sz val="12"/>
        <color rgb="FF212529"/>
        <rFont val="Times New Roman"/>
        <family val="1"/>
        <charset val="204"/>
      </rPr>
      <t> Неправильный тип аргумента в функции (например, текстовое значение вместо числового).</t>
    </r>
  </si>
  <si>
    <r>
      <t>#REF!</t>
    </r>
    <r>
      <rPr>
        <b/>
        <sz val="12"/>
        <color rgb="FF212529"/>
        <rFont val="Times New Roman"/>
        <family val="1"/>
        <charset val="204"/>
      </rPr>
      <t>:</t>
    </r>
    <r>
      <rPr>
        <sz val="12"/>
        <color rgb="FF212529"/>
        <rFont val="Times New Roman"/>
        <family val="1"/>
        <charset val="204"/>
      </rPr>
      <t> Неверная ссылка на ячейку (например, ячейка была удалена).</t>
    </r>
  </si>
  <si>
    <r>
      <t>#NAME?</t>
    </r>
    <r>
      <rPr>
        <b/>
        <sz val="12"/>
        <color rgb="FF212529"/>
        <rFont val="Times New Roman"/>
        <family val="1"/>
        <charset val="204"/>
      </rPr>
      <t>:</t>
    </r>
    <r>
      <rPr>
        <sz val="12"/>
        <color rgb="FF212529"/>
        <rFont val="Times New Roman"/>
        <family val="1"/>
        <charset val="204"/>
      </rPr>
      <t> Неправильное имя функции или диапазона.</t>
    </r>
  </si>
  <si>
    <r>
      <t>#NUM!</t>
    </r>
    <r>
      <rPr>
        <b/>
        <sz val="12"/>
        <color rgb="FF212529"/>
        <rFont val="Times New Roman"/>
        <family val="1"/>
        <charset val="204"/>
      </rPr>
      <t>:</t>
    </r>
    <r>
      <rPr>
        <sz val="12"/>
        <color rgb="FF212529"/>
        <rFont val="Times New Roman"/>
        <family val="1"/>
        <charset val="204"/>
      </rPr>
      <t> Проблема с числовым значением (например, слишком большое или слишком маленькое число).</t>
    </r>
  </si>
  <si>
    <r>
      <t>#NULL!</t>
    </r>
    <r>
      <rPr>
        <b/>
        <sz val="12"/>
        <color rgb="FF212529"/>
        <rFont val="Times New Roman"/>
        <family val="1"/>
        <charset val="204"/>
      </rPr>
      <t>:</t>
    </r>
    <r>
      <rPr>
        <sz val="12"/>
        <color rgb="FF212529"/>
        <rFont val="Times New Roman"/>
        <family val="1"/>
        <charset val="204"/>
      </rPr>
      <t> Попытка выполнить операцию с пустым диапазоном.</t>
    </r>
  </si>
  <si>
    <t>коды ошибок:</t>
  </si>
  <si>
    <t>Средняя цена (с ЕСЛИОШИБКА)</t>
  </si>
  <si>
    <t>"=ЕСЛИОШИБКА(B17/C17; "Нет данных")</t>
  </si>
  <si>
    <t>ляля</t>
  </si>
  <si>
    <t>проблема</t>
  </si>
  <si>
    <t xml:space="preserve"> В первой части у нас действие ; во второй части “текст”</t>
  </si>
  <si>
    <t>цель научиться обрабатывать ошибки</t>
  </si>
  <si>
    <t>Id</t>
  </si>
  <si>
    <t>Игнорирует пустые ячейки и ячейки с текстом.</t>
  </si>
  <si>
    <r>
      <t>Подсчитывает количество </t>
    </r>
    <r>
      <rPr>
        <i/>
        <sz val="9"/>
        <color rgb="FF212529"/>
        <rFont val="Times New Roman"/>
        <family val="1"/>
        <charset val="204"/>
      </rPr>
      <t>непустых</t>
    </r>
    <r>
      <rPr>
        <sz val="9"/>
        <color rgb="FF212529"/>
        <rFont val="Times New Roman"/>
        <family val="1"/>
        <charset val="204"/>
      </rPr>
      <t xml:space="preserve"> ячеек </t>
    </r>
  </si>
  <si>
    <t>""</t>
  </si>
  <si>
    <t>6 не правильных</t>
  </si>
  <si>
    <t>1 1 янв</t>
  </si>
  <si>
    <t>2 пер четверг</t>
  </si>
  <si>
    <t xml:space="preserve"> дата приходится на 7 неделю в 2025 году</t>
  </si>
  <si>
    <t>"=РАЗНДАТ(A9; A10; "Y")</t>
  </si>
  <si>
    <t>"=РАЗНДАТ(A9; A10; "M")</t>
  </si>
  <si>
    <t>"=РАЗНДАТ(A9; A10; "D")</t>
  </si>
  <si>
    <t>"=РАЗНДАТ(A9; A10; "YM")</t>
  </si>
  <si>
    <t>"=РАЗНДАТ(A9; A10; "YD")</t>
  </si>
  <si>
    <t>"=РАЗНДАТ(A9; A10; "MD")</t>
  </si>
  <si>
    <r>
      <t>#N/A</t>
    </r>
    <r>
      <rPr>
        <b/>
        <sz val="12"/>
        <color rgb="FF212529"/>
        <rFont val="Times New Roman"/>
        <family val="1"/>
        <charset val="204"/>
      </rPr>
      <t>:</t>
    </r>
    <r>
      <rPr>
        <sz val="12"/>
        <color rgb="FF212529"/>
        <rFont val="Times New Roman"/>
        <family val="1"/>
        <charset val="204"/>
      </rPr>
      <t xml:space="preserve"> Значение недоступно </t>
    </r>
  </si>
  <si>
    <t>E1 и F1</t>
  </si>
  <si>
    <t>3) взависимости от выбора в ячеке F1   и E1 показывает разные результаты</t>
  </si>
  <si>
    <t>только F1 для 3</t>
  </si>
  <si>
    <t>нет</t>
  </si>
  <si>
    <t>нет -замена</t>
  </si>
  <si>
    <t>есть</t>
  </si>
  <si>
    <t>"=5* 2- СЧЁТЗ(G2:H5)"</t>
  </si>
  <si>
    <t>ludochekger@yandex.ru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</si>
</sst>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;;;"/>
  </numFmts>
  <fonts count="8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0070C0"/>
      <name val="Times New Roman"/>
      <family val="1"/>
      <charset val="204"/>
    </font>
    <font>
      <b/>
      <sz val="12"/>
      <color rgb="FF212529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sz val="10"/>
      <color rgb="FF212529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393939"/>
      <name val="Times New Roman"/>
      <family val="1"/>
      <charset val="204"/>
    </font>
    <font>
      <sz val="11"/>
      <color rgb="FF1E1E1E"/>
      <name val="Times New Roman"/>
      <family val="1"/>
      <charset val="204"/>
    </font>
    <font>
      <sz val="10"/>
      <color rgb="FFE83E8C"/>
      <name val="Times New Roman"/>
      <family val="1"/>
      <charset val="204"/>
    </font>
    <font>
      <sz val="9"/>
      <color rgb="FF0070C0"/>
      <name val="Times New Roman"/>
      <family val="1"/>
      <charset val="204"/>
    </font>
    <font>
      <sz val="9"/>
      <color rgb="FF212529"/>
      <name val="Times New Roman"/>
      <family val="1"/>
      <charset val="204"/>
    </font>
    <font>
      <b/>
      <sz val="9"/>
      <color rgb="FF212529"/>
      <name val="Segoe UI"/>
      <family val="2"/>
      <charset val="204"/>
    </font>
    <font>
      <sz val="11"/>
      <color rgb="FFFF33CC"/>
      <name val="Calibri"/>
      <family val="2"/>
      <charset val="204"/>
      <scheme val="minor"/>
    </font>
    <font>
      <b/>
      <sz val="12"/>
      <color rgb="FFFF33CC"/>
      <name val="Times New Roman"/>
      <family val="1"/>
      <charset val="204"/>
    </font>
    <font>
      <sz val="12"/>
      <color rgb="FFFF33CC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2"/>
      <color rgb="FF212529"/>
      <name val="Segoe UI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1"/>
      <color rgb="FF212529"/>
      <name val="Times New Roman"/>
      <family val="1"/>
      <charset val="204"/>
    </font>
    <font>
      <i/>
      <sz val="12"/>
      <color rgb="FF21252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212529"/>
      <name val="Times New Roman"/>
      <family val="1"/>
      <charset val="204"/>
    </font>
    <font>
      <b/>
      <sz val="10"/>
      <color rgb="FF212529"/>
      <name val="Times New Roman"/>
      <family val="1"/>
      <charset val="204"/>
    </font>
    <font>
      <sz val="11"/>
      <color rgb="FF00B050"/>
      <name val="Calibri"/>
      <family val="2"/>
      <charset val="204"/>
      <scheme val="minor"/>
    </font>
    <font>
      <b/>
      <sz val="10"/>
      <color rgb="FF383A42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383A42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color rgb="FF0070C0"/>
      <name val="Times New Roman"/>
      <family val="1"/>
      <charset val="204"/>
    </font>
    <font>
      <b/>
      <sz val="11"/>
      <color theme="1"/>
      <name val="Arial Black"/>
      <family val="2"/>
      <charset val="204"/>
    </font>
    <font>
      <sz val="12"/>
      <color rgb="FF000000"/>
      <name val="Times New Roman"/>
      <family val="1"/>
      <charset val="204"/>
    </font>
    <font>
      <sz val="12"/>
      <color rgb="FFE83E8C"/>
      <name val="Times New Roman"/>
      <family val="1"/>
      <charset val="204"/>
    </font>
    <font>
      <sz val="7"/>
      <color rgb="FF212529"/>
      <name val="Times New Roman"/>
      <family val="1"/>
      <charset val="204"/>
    </font>
    <font>
      <b/>
      <sz val="11"/>
      <color rgb="FF0070C0"/>
      <name val="Times New Roman"/>
      <family val="1"/>
      <charset val="204"/>
    </font>
    <font>
      <b/>
      <sz val="11"/>
      <color rgb="FFC00000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00B050"/>
      <name val="Times New Roman"/>
      <family val="1"/>
      <charset val="204"/>
    </font>
    <font>
      <sz val="11"/>
      <color rgb="FFFF33CC"/>
      <name val="Times New Roman"/>
      <family val="1"/>
      <charset val="204"/>
    </font>
    <font>
      <b/>
      <sz val="14"/>
      <color rgb="FF7030A0"/>
      <name val="Times New Roman"/>
      <family val="1"/>
      <charset val="204"/>
    </font>
    <font>
      <b/>
      <sz val="9"/>
      <color rgb="FF212529"/>
      <name val="Times New Roman"/>
      <family val="1"/>
      <charset val="204"/>
    </font>
    <font>
      <sz val="11"/>
      <color theme="1" tint="4.9989318521683403E-2"/>
      <name val="Calibri"/>
      <family val="2"/>
      <charset val="204"/>
      <scheme val="minor"/>
    </font>
    <font>
      <b/>
      <sz val="11"/>
      <color theme="1" tint="4.9989318521683403E-2"/>
      <name val="Calibri"/>
      <family val="2"/>
      <charset val="204"/>
      <scheme val="minor"/>
    </font>
    <font>
      <b/>
      <sz val="11"/>
      <color rgb="FFC00000"/>
      <name val="Times New Roman"/>
      <family val="1"/>
      <charset val="204"/>
    </font>
    <font>
      <b/>
      <sz val="11"/>
      <color rgb="FF00B050"/>
      <name val="Times New Roman"/>
      <family val="1"/>
      <charset val="204"/>
    </font>
    <font>
      <b/>
      <sz val="11"/>
      <color rgb="FF00206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2"/>
      <color rgb="FFC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0"/>
      <color rgb="FF0070C0"/>
      <name val="Times New Roman"/>
      <family val="1"/>
      <charset val="204"/>
    </font>
    <font>
      <b/>
      <sz val="10"/>
      <color rgb="FFC00000"/>
      <name val="Times New Roman"/>
      <family val="1"/>
      <charset val="204"/>
    </font>
    <font>
      <sz val="10"/>
      <color theme="4" tint="-0.249977111117893"/>
      <name val="Times New Roman"/>
      <family val="1"/>
      <charset val="204"/>
    </font>
    <font>
      <sz val="10"/>
      <color theme="5" tint="-0.249977111117893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0"/>
      <color theme="9" tint="-0.499984740745262"/>
      <name val="Times New Roman"/>
      <family val="1"/>
      <charset val="204"/>
    </font>
    <font>
      <sz val="10"/>
      <color theme="9" tint="-0.249977111117893"/>
      <name val="Times New Roman"/>
      <family val="1"/>
      <charset val="204"/>
    </font>
    <font>
      <sz val="10"/>
      <color rgb="FF212529"/>
      <name val="Courier New"/>
      <family val="3"/>
      <charset val="204"/>
    </font>
    <font>
      <sz val="11"/>
      <color rgb="FFD5216E"/>
      <name val="Calibri"/>
      <family val="2"/>
      <charset val="204"/>
      <scheme val="minor"/>
    </font>
    <font>
      <sz val="11"/>
      <color rgb="FFD5216E"/>
      <name val="Times New Roman"/>
      <family val="1"/>
      <charset val="204"/>
    </font>
    <font>
      <sz val="11"/>
      <color rgb="FFE83E8C"/>
      <name val="Times New Roman"/>
      <family val="1"/>
      <charset val="204"/>
    </font>
    <font>
      <sz val="11"/>
      <name val="Times New Roman"/>
      <family val="1"/>
      <charset val="204"/>
    </font>
    <font>
      <sz val="12"/>
      <color rgb="FFEE0000"/>
      <name val="Times New Roman"/>
      <family val="1"/>
      <charset val="204"/>
    </font>
    <font>
      <sz val="12"/>
      <color rgb="FF00B05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rgb="FFE83E8C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i/>
      <sz val="9"/>
      <color rgb="FF212529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u/>
      <sz val="28"/>
      <color theme="1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D3D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 style="thin">
        <color indexed="64"/>
      </top>
      <bottom/>
      <diagonal/>
    </border>
    <border>
      <left style="thin">
        <color rgb="FFC00000"/>
      </left>
      <right style="thin">
        <color rgb="FFC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C00000"/>
      </right>
      <top style="thin">
        <color indexed="64"/>
      </top>
      <bottom style="thin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C00000"/>
      </top>
      <bottom style="thin">
        <color indexed="64"/>
      </bottom>
      <diagonal/>
    </border>
    <border>
      <left/>
      <right style="thin">
        <color rgb="FFC00000"/>
      </right>
      <top style="thin">
        <color rgb="FFC00000"/>
      </top>
      <bottom style="thin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9" tint="-0.499984740745262"/>
      </right>
      <top style="medium">
        <color indexed="64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medium">
        <color indexed="64"/>
      </top>
      <bottom style="thin">
        <color theme="9" tint="-0.499984740745262"/>
      </bottom>
      <diagonal/>
    </border>
    <border>
      <left style="thin">
        <color theme="9" tint="-0.499984740745262"/>
      </left>
      <right style="medium">
        <color indexed="64"/>
      </right>
      <top style="medium">
        <color indexed="64"/>
      </top>
      <bottom style="thin">
        <color theme="9" tint="-0.499984740745262"/>
      </bottom>
      <diagonal/>
    </border>
    <border>
      <left style="thin">
        <color theme="9" tint="-0.499984740745262"/>
      </left>
      <right style="medium">
        <color indexed="64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medium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medium">
        <color indexed="64"/>
      </bottom>
      <diagonal/>
    </border>
    <border>
      <left style="thin">
        <color theme="9" tint="-0.499984740745262"/>
      </left>
      <right style="medium">
        <color indexed="64"/>
      </right>
      <top style="thin">
        <color theme="9" tint="-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36" fillId="7" borderId="26"/>
    <xf numFmtId="0" fontId="36" fillId="8" borderId="6"/>
    <xf numFmtId="0" fontId="36" fillId="0" borderId="0"/>
    <xf numFmtId="0" fontId="36" fillId="7" borderId="0"/>
    <xf numFmtId="0" fontId="37" fillId="9" borderId="0" applyNumberFormat="0" applyBorder="0" applyProtection="0"/>
    <xf numFmtId="0" fontId="80" fillId="0" borderId="0" applyNumberFormat="0" applyFill="0" applyBorder="0" applyAlignment="0" applyProtection="0"/>
  </cellStyleXfs>
  <cellXfs count="299">
    <xf numFmtId="0" fontId="0" fillId="0" borderId="0" xfId="0"/>
    <xf numFmtId="0" fontId="2" fillId="0" borderId="0" xfId="0" applyFont="1"/>
    <xf numFmtId="0" fontId="0" fillId="0" borderId="1" xfId="0" applyBorder="1"/>
    <xf numFmtId="0" fontId="5" fillId="2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5" fillId="2" borderId="5" xfId="0" applyFont="1" applyFill="1" applyBorder="1" applyAlignment="1">
      <alignment horizontal="left" vertical="center" wrapText="1" indent="1"/>
    </xf>
    <xf numFmtId="0" fontId="0" fillId="0" borderId="5" xfId="0" applyBorder="1"/>
    <xf numFmtId="0" fontId="5" fillId="0" borderId="0" xfId="0" applyFont="1"/>
    <xf numFmtId="0" fontId="3" fillId="0" borderId="0" xfId="0" applyFont="1"/>
    <xf numFmtId="0" fontId="9" fillId="2" borderId="1" xfId="0" applyFont="1" applyFill="1" applyBorder="1" applyAlignment="1">
      <alignment horizontal="left" vertical="center" wrapText="1" indent="1"/>
    </xf>
    <xf numFmtId="0" fontId="7" fillId="0" borderId="1" xfId="0" applyFont="1" applyBorder="1"/>
    <xf numFmtId="0" fontId="7" fillId="0" borderId="0" xfId="0" applyFont="1"/>
    <xf numFmtId="0" fontId="7" fillId="0" borderId="3" xfId="0" applyFont="1" applyBorder="1"/>
    <xf numFmtId="0" fontId="1" fillId="0" borderId="0" xfId="0" applyFont="1"/>
    <xf numFmtId="0" fontId="11" fillId="0" borderId="0" xfId="0" applyFont="1"/>
    <xf numFmtId="0" fontId="12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/>
    </xf>
    <xf numFmtId="14" fontId="7" fillId="0" borderId="1" xfId="0" applyNumberFormat="1" applyFont="1" applyBorder="1" applyAlignment="1">
      <alignment horizontal="left" vertical="top"/>
    </xf>
    <xf numFmtId="22" fontId="7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1" xfId="0" applyBorder="1" applyAlignment="1">
      <alignment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top" wrapText="1"/>
    </xf>
    <xf numFmtId="0" fontId="18" fillId="0" borderId="0" xfId="0" applyFont="1"/>
    <xf numFmtId="0" fontId="21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22" fillId="4" borderId="1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24" fillId="2" borderId="1" xfId="0" applyFont="1" applyFill="1" applyBorder="1" applyAlignment="1">
      <alignment horizontal="left" vertical="top" wrapText="1" indent="1"/>
    </xf>
    <xf numFmtId="0" fontId="0" fillId="5" borderId="1" xfId="0" applyFill="1" applyBorder="1"/>
    <xf numFmtId="0" fontId="24" fillId="4" borderId="1" xfId="0" applyFont="1" applyFill="1" applyBorder="1" applyAlignment="1">
      <alignment horizontal="left" vertical="top" wrapText="1" indent="1"/>
    </xf>
    <xf numFmtId="0" fontId="10" fillId="0" borderId="0" xfId="0" applyFont="1"/>
    <xf numFmtId="0" fontId="1" fillId="6" borderId="1" xfId="0" applyFont="1" applyFill="1" applyBorder="1"/>
    <xf numFmtId="0" fontId="25" fillId="0" borderId="0" xfId="0" applyFont="1"/>
    <xf numFmtId="0" fontId="0" fillId="0" borderId="0" xfId="0" applyAlignment="1">
      <alignment vertical="top"/>
    </xf>
    <xf numFmtId="0" fontId="26" fillId="2" borderId="1" xfId="0" applyFont="1" applyFill="1" applyBorder="1" applyAlignment="1">
      <alignment horizontal="left" vertical="top" wrapText="1"/>
    </xf>
    <xf numFmtId="0" fontId="26" fillId="4" borderId="1" xfId="0" applyFont="1" applyFill="1" applyBorder="1" applyAlignment="1">
      <alignment horizontal="left" vertical="top" wrapText="1"/>
    </xf>
    <xf numFmtId="0" fontId="26" fillId="4" borderId="1" xfId="0" applyFont="1" applyFill="1" applyBorder="1" applyAlignment="1">
      <alignment vertical="top"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6" fillId="2" borderId="3" xfId="0" applyFont="1" applyFill="1" applyBorder="1" applyAlignment="1">
      <alignment horizontal="left" vertical="top" wrapText="1"/>
    </xf>
    <xf numFmtId="0" fontId="26" fillId="2" borderId="8" xfId="0" applyFont="1" applyFill="1" applyBorder="1" applyAlignment="1">
      <alignment horizontal="left" vertical="center" wrapText="1" indent="1"/>
    </xf>
    <xf numFmtId="0" fontId="26" fillId="2" borderId="1" xfId="0" applyFont="1" applyFill="1" applyBorder="1" applyAlignment="1">
      <alignment horizontal="left" vertical="center" wrapText="1" indent="1"/>
    </xf>
    <xf numFmtId="0" fontId="28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6" fillId="4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5" fillId="2" borderId="2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left" wrapText="1" indent="1"/>
    </xf>
    <xf numFmtId="0" fontId="6" fillId="2" borderId="1" xfId="0" applyFont="1" applyFill="1" applyBorder="1" applyAlignment="1">
      <alignment horizontal="left" wrapText="1" indent="1"/>
    </xf>
    <xf numFmtId="0" fontId="6" fillId="2" borderId="3" xfId="0" applyFont="1" applyFill="1" applyBorder="1" applyAlignment="1">
      <alignment horizontal="left" wrapText="1" indent="1"/>
    </xf>
    <xf numFmtId="0" fontId="11" fillId="0" borderId="8" xfId="0" applyFont="1" applyBorder="1"/>
    <xf numFmtId="0" fontId="28" fillId="0" borderId="0" xfId="0" applyFont="1"/>
    <xf numFmtId="0" fontId="26" fillId="0" borderId="0" xfId="0" applyFont="1" applyAlignment="1">
      <alignment horizontal="left" vertical="top" indent="1"/>
    </xf>
    <xf numFmtId="0" fontId="26" fillId="0" borderId="0" xfId="0" applyFont="1" applyAlignment="1">
      <alignment horizontal="left" vertical="top"/>
    </xf>
    <xf numFmtId="0" fontId="6" fillId="2" borderId="8" xfId="0" applyFont="1" applyFill="1" applyBorder="1" applyAlignment="1">
      <alignment horizontal="left" wrapText="1" indent="1"/>
    </xf>
    <xf numFmtId="0" fontId="0" fillId="0" borderId="0" xfId="0" applyAlignment="1">
      <alignment horizontal="left" vertical="top"/>
    </xf>
    <xf numFmtId="0" fontId="24" fillId="0" borderId="0" xfId="0" applyFont="1" applyAlignment="1">
      <alignment horizontal="left" vertical="center" indent="2"/>
    </xf>
    <xf numFmtId="0" fontId="24" fillId="0" borderId="0" xfId="0" applyFont="1" applyAlignment="1">
      <alignment horizontal="left" vertical="center" wrapText="1" indent="1"/>
    </xf>
    <xf numFmtId="0" fontId="24" fillId="0" borderId="0" xfId="0" applyFont="1" applyAlignment="1">
      <alignment horizontal="left" vertical="center"/>
    </xf>
    <xf numFmtId="14" fontId="0" fillId="0" borderId="0" xfId="0" applyNumberFormat="1"/>
    <xf numFmtId="2" fontId="15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6" fillId="0" borderId="0" xfId="0" applyFont="1"/>
    <xf numFmtId="0" fontId="26" fillId="4" borderId="1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31" fillId="2" borderId="0" xfId="0" applyFont="1" applyFill="1" applyAlignment="1">
      <alignment horizontal="left" vertical="top" wrapText="1" indent="1"/>
    </xf>
    <xf numFmtId="0" fontId="0" fillId="0" borderId="10" xfId="0" applyBorder="1" applyAlignment="1">
      <alignment horizontal="left" vertical="top"/>
    </xf>
    <xf numFmtId="0" fontId="0" fillId="0" borderId="8" xfId="0" applyBorder="1" applyAlignment="1">
      <alignment vertical="top" wrapText="1"/>
    </xf>
    <xf numFmtId="0" fontId="0" fillId="0" borderId="11" xfId="0" applyBorder="1" applyAlignment="1">
      <alignment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12" xfId="0" applyBorder="1"/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1" fillId="0" borderId="15" xfId="0" applyFont="1" applyBorder="1"/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11" xfId="0" applyFont="1" applyBorder="1"/>
    <xf numFmtId="0" fontId="0" fillId="0" borderId="0" xfId="0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5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2" xfId="0" applyBorder="1"/>
    <xf numFmtId="0" fontId="0" fillId="0" borderId="23" xfId="0" applyBorder="1"/>
    <xf numFmtId="0" fontId="32" fillId="0" borderId="0" xfId="0" applyFont="1"/>
    <xf numFmtId="0" fontId="23" fillId="0" borderId="1" xfId="0" applyFont="1" applyBorder="1"/>
    <xf numFmtId="0" fontId="31" fillId="2" borderId="1" xfId="0" applyFont="1" applyFill="1" applyBorder="1" applyAlignment="1">
      <alignment horizontal="left" vertical="top" wrapText="1"/>
    </xf>
    <xf numFmtId="0" fontId="33" fillId="0" borderId="0" xfId="0" applyFont="1"/>
    <xf numFmtId="0" fontId="23" fillId="0" borderId="4" xfId="0" applyFont="1" applyBorder="1"/>
    <xf numFmtId="0" fontId="34" fillId="0" borderId="1" xfId="0" applyFont="1" applyBorder="1"/>
    <xf numFmtId="0" fontId="35" fillId="0" borderId="1" xfId="0" applyFont="1" applyBorder="1"/>
    <xf numFmtId="0" fontId="35" fillId="0" borderId="0" xfId="0" applyFont="1"/>
    <xf numFmtId="0" fontId="33" fillId="0" borderId="1" xfId="0" applyFont="1" applyBorder="1"/>
    <xf numFmtId="0" fontId="23" fillId="0" borderId="0" xfId="0" applyFont="1"/>
    <xf numFmtId="0" fontId="36" fillId="7" borderId="27" xfId="4" applyBorder="1" applyAlignment="1">
      <alignment horizontal="right"/>
    </xf>
    <xf numFmtId="0" fontId="36" fillId="7" borderId="27" xfId="4" applyBorder="1"/>
    <xf numFmtId="0" fontId="37" fillId="9" borderId="0" xfId="5"/>
    <xf numFmtId="0" fontId="37" fillId="9" borderId="0" xfId="5" applyAlignment="1">
      <alignment horizontal="right"/>
    </xf>
    <xf numFmtId="0" fontId="38" fillId="0" borderId="0" xfId="0" applyFont="1"/>
    <xf numFmtId="0" fontId="0" fillId="10" borderId="7" xfId="0" applyFill="1" applyBorder="1"/>
    <xf numFmtId="14" fontId="4" fillId="2" borderId="1" xfId="0" applyNumberFormat="1" applyFont="1" applyFill="1" applyBorder="1" applyAlignment="1">
      <alignment horizontal="left" vertical="top" wrapText="1"/>
    </xf>
    <xf numFmtId="22" fontId="4" fillId="4" borderId="1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14" fontId="4" fillId="4" borderId="1" xfId="0" applyNumberFormat="1" applyFont="1" applyFill="1" applyBorder="1" applyAlignment="1">
      <alignment horizontal="left" vertical="top" wrapText="1"/>
    </xf>
    <xf numFmtId="18" fontId="4" fillId="2" borderId="1" xfId="0" applyNumberFormat="1" applyFont="1" applyFill="1" applyBorder="1" applyAlignment="1">
      <alignment horizontal="left" vertical="top" wrapText="1"/>
    </xf>
    <xf numFmtId="0" fontId="39" fillId="0" borderId="1" xfId="0" applyFont="1" applyBorder="1"/>
    <xf numFmtId="0" fontId="40" fillId="0" borderId="0" xfId="0" applyFont="1"/>
    <xf numFmtId="0" fontId="0" fillId="10" borderId="1" xfId="0" applyFill="1" applyBorder="1"/>
    <xf numFmtId="0" fontId="0" fillId="10" borderId="0" xfId="0" applyFill="1"/>
    <xf numFmtId="0" fontId="0" fillId="10" borderId="1" xfId="0" applyFill="1" applyBorder="1" applyAlignment="1">
      <alignment horizontal="left" vertical="top"/>
    </xf>
    <xf numFmtId="0" fontId="29" fillId="10" borderId="1" xfId="0" applyFont="1" applyFill="1" applyBorder="1" applyAlignment="1">
      <alignment horizontal="left" vertical="top"/>
    </xf>
    <xf numFmtId="22" fontId="6" fillId="2" borderId="3" xfId="0" applyNumberFormat="1" applyFont="1" applyFill="1" applyBorder="1" applyAlignment="1">
      <alignment horizontal="left" vertical="top" wrapText="1"/>
    </xf>
    <xf numFmtId="22" fontId="6" fillId="4" borderId="3" xfId="0" applyNumberFormat="1" applyFont="1" applyFill="1" applyBorder="1" applyAlignment="1">
      <alignment horizontal="left" vertical="top" wrapText="1"/>
    </xf>
    <xf numFmtId="14" fontId="6" fillId="4" borderId="3" xfId="0" applyNumberFormat="1" applyFont="1" applyFill="1" applyBorder="1" applyAlignment="1">
      <alignment horizontal="left" vertical="top" wrapText="1"/>
    </xf>
    <xf numFmtId="14" fontId="6" fillId="2" borderId="3" xfId="0" applyNumberFormat="1" applyFont="1" applyFill="1" applyBorder="1" applyAlignment="1">
      <alignment horizontal="left" vertical="top" wrapText="1"/>
    </xf>
    <xf numFmtId="21" fontId="6" fillId="2" borderId="3" xfId="0" applyNumberFormat="1" applyFont="1" applyFill="1" applyBorder="1" applyAlignment="1">
      <alignment horizontal="left" vertical="top" wrapText="1"/>
    </xf>
    <xf numFmtId="14" fontId="6" fillId="2" borderId="4" xfId="0" applyNumberFormat="1" applyFont="1" applyFill="1" applyBorder="1" applyAlignment="1">
      <alignment horizontal="left" vertical="top" wrapText="1"/>
    </xf>
    <xf numFmtId="22" fontId="6" fillId="4" borderId="4" xfId="0" applyNumberFormat="1" applyFont="1" applyFill="1" applyBorder="1" applyAlignment="1">
      <alignment horizontal="left" vertical="top" wrapText="1"/>
    </xf>
    <xf numFmtId="14" fontId="6" fillId="4" borderId="4" xfId="0" applyNumberFormat="1" applyFont="1" applyFill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/>
    </xf>
    <xf numFmtId="21" fontId="6" fillId="2" borderId="4" xfId="0" applyNumberFormat="1" applyFont="1" applyFill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 wrapText="1"/>
    </xf>
    <xf numFmtId="0" fontId="7" fillId="10" borderId="24" xfId="0" applyFont="1" applyFill="1" applyBorder="1" applyAlignment="1">
      <alignment horizontal="left" vertical="top"/>
    </xf>
    <xf numFmtId="0" fontId="7" fillId="10" borderId="7" xfId="0" applyFont="1" applyFill="1" applyBorder="1"/>
    <xf numFmtId="0" fontId="7" fillId="10" borderId="5" xfId="0" applyFont="1" applyFill="1" applyBorder="1"/>
    <xf numFmtId="0" fontId="7" fillId="10" borderId="1" xfId="0" applyFont="1" applyFill="1" applyBorder="1"/>
    <xf numFmtId="0" fontId="26" fillId="10" borderId="7" xfId="0" applyFont="1" applyFill="1" applyBorder="1" applyAlignment="1">
      <alignment horizontal="left" vertical="top" wrapText="1"/>
    </xf>
    <xf numFmtId="0" fontId="26" fillId="10" borderId="5" xfId="0" applyFont="1" applyFill="1" applyBorder="1" applyAlignment="1">
      <alignment horizontal="left" vertical="top" wrapText="1"/>
    </xf>
    <xf numFmtId="0" fontId="26" fillId="10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vertical="top"/>
    </xf>
    <xf numFmtId="0" fontId="7" fillId="10" borderId="1" xfId="0" applyFont="1" applyFill="1" applyBorder="1" applyAlignment="1">
      <alignment horizontal="left" vertical="top"/>
    </xf>
    <xf numFmtId="0" fontId="7" fillId="0" borderId="8" xfId="0" applyFont="1" applyBorder="1"/>
    <xf numFmtId="0" fontId="0" fillId="10" borderId="5" xfId="0" applyFill="1" applyBorder="1"/>
    <xf numFmtId="0" fontId="7" fillId="10" borderId="32" xfId="0" applyFont="1" applyFill="1" applyBorder="1"/>
    <xf numFmtId="0" fontId="0" fillId="10" borderId="33" xfId="0" applyFill="1" applyBorder="1"/>
    <xf numFmtId="0" fontId="0" fillId="10" borderId="34" xfId="0" applyFill="1" applyBorder="1"/>
    <xf numFmtId="0" fontId="0" fillId="0" borderId="3" xfId="0" applyBorder="1"/>
    <xf numFmtId="0" fontId="0" fillId="10" borderId="32" xfId="0" applyFill="1" applyBorder="1"/>
    <xf numFmtId="0" fontId="0" fillId="0" borderId="8" xfId="0" applyBorder="1"/>
    <xf numFmtId="0" fontId="7" fillId="10" borderId="33" xfId="0" applyFont="1" applyFill="1" applyBorder="1"/>
    <xf numFmtId="0" fontId="5" fillId="4" borderId="3" xfId="0" applyFont="1" applyFill="1" applyBorder="1" applyAlignment="1">
      <alignment horizontal="left" vertical="center" wrapText="1" indent="1"/>
    </xf>
    <xf numFmtId="0" fontId="1" fillId="0" borderId="3" xfId="0" applyFont="1" applyBorder="1"/>
    <xf numFmtId="14" fontId="34" fillId="10" borderId="25" xfId="0" applyNumberFormat="1" applyFont="1" applyFill="1" applyBorder="1" applyAlignment="1">
      <alignment horizontal="left" vertical="top" wrapText="1"/>
    </xf>
    <xf numFmtId="22" fontId="34" fillId="10" borderId="31" xfId="0" applyNumberFormat="1" applyFont="1" applyFill="1" applyBorder="1" applyAlignment="1">
      <alignment horizontal="left" vertical="top" wrapText="1"/>
    </xf>
    <xf numFmtId="0" fontId="34" fillId="10" borderId="31" xfId="0" applyFont="1" applyFill="1" applyBorder="1" applyAlignment="1">
      <alignment horizontal="left" vertical="top" wrapText="1"/>
    </xf>
    <xf numFmtId="14" fontId="34" fillId="10" borderId="31" xfId="0" applyNumberFormat="1" applyFont="1" applyFill="1" applyBorder="1" applyAlignment="1">
      <alignment horizontal="left" vertical="top" wrapText="1"/>
    </xf>
    <xf numFmtId="21" fontId="34" fillId="10" borderId="31" xfId="0" applyNumberFormat="1" applyFont="1" applyFill="1" applyBorder="1" applyAlignment="1">
      <alignment horizontal="left" vertical="top" wrapText="1"/>
    </xf>
    <xf numFmtId="18" fontId="34" fillId="10" borderId="31" xfId="0" applyNumberFormat="1" applyFont="1" applyFill="1" applyBorder="1" applyAlignment="1">
      <alignment horizontal="left" vertical="top" wrapText="1"/>
    </xf>
    <xf numFmtId="0" fontId="41" fillId="0" borderId="0" xfId="0" applyFont="1"/>
    <xf numFmtId="0" fontId="14" fillId="0" borderId="0" xfId="0" applyFont="1"/>
    <xf numFmtId="0" fontId="10" fillId="0" borderId="0" xfId="0" applyFont="1" applyAlignment="1">
      <alignment horizontal="left" vertical="top"/>
    </xf>
    <xf numFmtId="0" fontId="26" fillId="2" borderId="9" xfId="0" applyFont="1" applyFill="1" applyBorder="1" applyAlignment="1">
      <alignment horizontal="left" vertical="top" wrapText="1"/>
    </xf>
    <xf numFmtId="0" fontId="7" fillId="0" borderId="0" xfId="0" applyFont="1" applyAlignment="1">
      <alignment vertical="top"/>
    </xf>
    <xf numFmtId="0" fontId="26" fillId="2" borderId="35" xfId="0" applyFont="1" applyFill="1" applyBorder="1" applyAlignment="1">
      <alignment horizontal="left" vertical="top" wrapText="1"/>
    </xf>
    <xf numFmtId="0" fontId="21" fillId="4" borderId="39" xfId="0" applyFont="1" applyFill="1" applyBorder="1" applyAlignment="1">
      <alignment horizontal="left" vertical="center" wrapText="1" indent="1"/>
    </xf>
    <xf numFmtId="0" fontId="26" fillId="4" borderId="40" xfId="0" applyFont="1" applyFill="1" applyBorder="1" applyAlignment="1">
      <alignment horizontal="left" vertical="center" wrapText="1" indent="1"/>
    </xf>
    <xf numFmtId="0" fontId="21" fillId="2" borderId="39" xfId="0" applyFont="1" applyFill="1" applyBorder="1" applyAlignment="1">
      <alignment horizontal="left" vertical="center" wrapText="1" indent="1"/>
    </xf>
    <xf numFmtId="0" fontId="26" fillId="2" borderId="40" xfId="0" applyFont="1" applyFill="1" applyBorder="1" applyAlignment="1">
      <alignment horizontal="left" vertical="center" wrapText="1" indent="1"/>
    </xf>
    <xf numFmtId="0" fontId="21" fillId="4" borderId="41" xfId="0" applyFont="1" applyFill="1" applyBorder="1" applyAlignment="1">
      <alignment horizontal="left" vertical="center" wrapText="1" indent="1"/>
    </xf>
    <xf numFmtId="0" fontId="26" fillId="4" borderId="42" xfId="0" applyFont="1" applyFill="1" applyBorder="1" applyAlignment="1">
      <alignment horizontal="left" vertical="center" wrapText="1" indent="1"/>
    </xf>
    <xf numFmtId="0" fontId="26" fillId="4" borderId="43" xfId="0" applyFont="1" applyFill="1" applyBorder="1" applyAlignment="1">
      <alignment horizontal="left" vertical="center" wrapText="1" indent="1"/>
    </xf>
    <xf numFmtId="0" fontId="30" fillId="2" borderId="36" xfId="0" applyFont="1" applyFill="1" applyBorder="1" applyAlignment="1">
      <alignment horizontal="center" vertical="center" wrapText="1"/>
    </xf>
    <xf numFmtId="0" fontId="30" fillId="2" borderId="37" xfId="0" applyFont="1" applyFill="1" applyBorder="1" applyAlignment="1">
      <alignment horizontal="center" vertical="center" wrapText="1"/>
    </xf>
    <xf numFmtId="0" fontId="30" fillId="2" borderId="38" xfId="0" applyFont="1" applyFill="1" applyBorder="1" applyAlignment="1">
      <alignment horizontal="center" vertical="center" wrapText="1"/>
    </xf>
    <xf numFmtId="0" fontId="44" fillId="2" borderId="44" xfId="0" applyFont="1" applyFill="1" applyBorder="1" applyAlignment="1">
      <alignment horizontal="left" vertical="center" wrapText="1"/>
    </xf>
    <xf numFmtId="0" fontId="44" fillId="2" borderId="45" xfId="0" applyFont="1" applyFill="1" applyBorder="1" applyAlignment="1">
      <alignment horizontal="left" vertical="center" wrapText="1"/>
    </xf>
    <xf numFmtId="0" fontId="44" fillId="2" borderId="46" xfId="0" applyFont="1" applyFill="1" applyBorder="1" applyAlignment="1">
      <alignment horizontal="left" vertical="center" wrapText="1"/>
    </xf>
    <xf numFmtId="0" fontId="26" fillId="2" borderId="39" xfId="0" applyFont="1" applyFill="1" applyBorder="1" applyAlignment="1">
      <alignment horizontal="left" vertical="top" wrapText="1"/>
    </xf>
    <xf numFmtId="0" fontId="26" fillId="2" borderId="47" xfId="0" applyFont="1" applyFill="1" applyBorder="1" applyAlignment="1">
      <alignment horizontal="left" vertical="top" wrapText="1"/>
    </xf>
    <xf numFmtId="0" fontId="7" fillId="0" borderId="41" xfId="0" applyFont="1" applyBorder="1" applyAlignment="1">
      <alignment vertical="top"/>
    </xf>
    <xf numFmtId="0" fontId="26" fillId="2" borderId="48" xfId="0" applyFont="1" applyFill="1" applyBorder="1" applyAlignment="1">
      <alignment horizontal="left" vertical="top" wrapText="1"/>
    </xf>
    <xf numFmtId="0" fontId="26" fillId="2" borderId="49" xfId="0" applyFont="1" applyFill="1" applyBorder="1" applyAlignment="1">
      <alignment horizontal="left" vertical="top" wrapText="1"/>
    </xf>
    <xf numFmtId="0" fontId="26" fillId="2" borderId="50" xfId="0" applyFont="1" applyFill="1" applyBorder="1" applyAlignment="1">
      <alignment horizontal="left" vertical="top" wrapText="1"/>
    </xf>
    <xf numFmtId="0" fontId="47" fillId="2" borderId="9" xfId="0" applyFont="1" applyFill="1" applyBorder="1" applyAlignment="1">
      <alignment horizontal="left" vertical="top" wrapText="1"/>
    </xf>
    <xf numFmtId="0" fontId="47" fillId="4" borderId="1" xfId="0" applyFont="1" applyFill="1" applyBorder="1" applyAlignment="1">
      <alignment horizontal="left" vertical="center" wrapText="1" indent="1"/>
    </xf>
    <xf numFmtId="0" fontId="1" fillId="10" borderId="7" xfId="0" applyFont="1" applyFill="1" applyBorder="1"/>
    <xf numFmtId="0" fontId="48" fillId="2" borderId="1" xfId="0" applyFont="1" applyFill="1" applyBorder="1" applyAlignment="1">
      <alignment horizontal="left" vertical="center" wrapText="1" indent="1"/>
    </xf>
    <xf numFmtId="0" fontId="46" fillId="10" borderId="25" xfId="0" applyFont="1" applyFill="1" applyBorder="1" applyAlignment="1">
      <alignment vertical="center"/>
    </xf>
    <xf numFmtId="0" fontId="1" fillId="10" borderId="51" xfId="0" applyFont="1" applyFill="1" applyBorder="1"/>
    <xf numFmtId="0" fontId="1" fillId="10" borderId="22" xfId="0" applyFont="1" applyFill="1" applyBorder="1"/>
    <xf numFmtId="0" fontId="7" fillId="2" borderId="40" xfId="0" applyFont="1" applyFill="1" applyBorder="1" applyAlignment="1">
      <alignment horizontal="left" vertical="center" wrapText="1" indent="1"/>
    </xf>
    <xf numFmtId="0" fontId="47" fillId="4" borderId="40" xfId="0" applyFont="1" applyFill="1" applyBorder="1" applyAlignment="1">
      <alignment horizontal="left" vertical="center" wrapText="1" indent="1"/>
    </xf>
    <xf numFmtId="0" fontId="49" fillId="0" borderId="0" xfId="0" applyFont="1" applyAlignment="1">
      <alignment horizontal="left" vertical="top"/>
    </xf>
    <xf numFmtId="0" fontId="39" fillId="0" borderId="0" xfId="0" applyFont="1" applyAlignment="1">
      <alignment horizontal="left" vertical="top"/>
    </xf>
    <xf numFmtId="0" fontId="50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53" fillId="0" borderId="1" xfId="0" applyFont="1" applyBorder="1" applyAlignment="1">
      <alignment vertical="top" wrapText="1"/>
    </xf>
    <xf numFmtId="0" fontId="53" fillId="0" borderId="16" xfId="0" applyFont="1" applyBorder="1" applyAlignment="1">
      <alignment horizontal="left" vertical="top"/>
    </xf>
    <xf numFmtId="0" fontId="54" fillId="0" borderId="1" xfId="0" applyFont="1" applyBorder="1" applyAlignment="1">
      <alignment horizontal="left" vertical="top"/>
    </xf>
    <xf numFmtId="0" fontId="55" fillId="0" borderId="1" xfId="0" applyFont="1" applyBorder="1" applyAlignment="1">
      <alignment horizontal="left" vertical="top"/>
    </xf>
    <xf numFmtId="0" fontId="56" fillId="0" borderId="16" xfId="0" applyFont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0" fillId="10" borderId="0" xfId="0" applyFill="1" applyAlignment="1">
      <alignment horizontal="left" vertical="top" wrapText="1"/>
    </xf>
    <xf numFmtId="0" fontId="44" fillId="0" borderId="1" xfId="0" applyFont="1" applyBorder="1" applyAlignment="1">
      <alignment horizontal="left" vertical="top"/>
    </xf>
    <xf numFmtId="0" fontId="28" fillId="0" borderId="3" xfId="0" applyFont="1" applyBorder="1" applyAlignment="1">
      <alignment horizontal="left" vertical="top"/>
    </xf>
    <xf numFmtId="0" fontId="23" fillId="0" borderId="8" xfId="0" applyFont="1" applyBorder="1" applyAlignment="1">
      <alignment horizontal="left" vertical="top"/>
    </xf>
    <xf numFmtId="0" fontId="23" fillId="10" borderId="25" xfId="0" applyFont="1" applyFill="1" applyBorder="1"/>
    <xf numFmtId="0" fontId="23" fillId="10" borderId="24" xfId="0" applyFont="1" applyFill="1" applyBorder="1"/>
    <xf numFmtId="0" fontId="45" fillId="0" borderId="0" xfId="0" applyFont="1"/>
    <xf numFmtId="0" fontId="57" fillId="0" borderId="0" xfId="0" applyFont="1"/>
    <xf numFmtId="0" fontId="0" fillId="0" borderId="52" xfId="0" applyBorder="1"/>
    <xf numFmtId="0" fontId="58" fillId="11" borderId="8" xfId="0" applyFont="1" applyFill="1" applyBorder="1" applyAlignment="1">
      <alignment vertical="center"/>
    </xf>
    <xf numFmtId="0" fontId="58" fillId="11" borderId="2" xfId="0" applyFont="1" applyFill="1" applyBorder="1" applyAlignment="1">
      <alignment vertical="center"/>
    </xf>
    <xf numFmtId="0" fontId="58" fillId="11" borderId="5" xfId="0" applyFont="1" applyFill="1" applyBorder="1" applyAlignment="1">
      <alignment vertical="center"/>
    </xf>
    <xf numFmtId="0" fontId="6" fillId="0" borderId="0" xfId="0" applyFont="1" applyAlignment="1">
      <alignment horizontal="left" vertical="center" indent="2"/>
    </xf>
    <xf numFmtId="0" fontId="59" fillId="0" borderId="0" xfId="0" applyFont="1" applyAlignment="1">
      <alignment vertical="top"/>
    </xf>
    <xf numFmtId="0" fontId="39" fillId="0" borderId="8" xfId="0" applyFont="1" applyBorder="1" applyAlignment="1">
      <alignment vertical="top"/>
    </xf>
    <xf numFmtId="0" fontId="6" fillId="0" borderId="0" xfId="0" applyFont="1" applyAlignment="1">
      <alignment vertical="top"/>
    </xf>
    <xf numFmtId="0" fontId="39" fillId="0" borderId="2" xfId="0" applyFont="1" applyBorder="1" applyAlignment="1">
      <alignment vertical="top"/>
    </xf>
    <xf numFmtId="0" fontId="39" fillId="0" borderId="5" xfId="0" applyFont="1" applyBorder="1" applyAlignment="1">
      <alignment vertical="top"/>
    </xf>
    <xf numFmtId="0" fontId="7" fillId="10" borderId="1" xfId="0" applyFont="1" applyFill="1" applyBorder="1" applyAlignment="1">
      <alignment vertical="top"/>
    </xf>
    <xf numFmtId="0" fontId="34" fillId="0" borderId="0" xfId="0" applyFont="1"/>
    <xf numFmtId="0" fontId="10" fillId="2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2" borderId="1" xfId="0" applyFont="1" applyFill="1" applyBorder="1" applyAlignment="1">
      <alignment horizontal="left" vertical="top" wrapText="1"/>
    </xf>
    <xf numFmtId="0" fontId="63" fillId="4" borderId="1" xfId="0" applyFont="1" applyFill="1" applyBorder="1" applyAlignment="1">
      <alignment horizontal="left" vertical="top" wrapText="1"/>
    </xf>
    <xf numFmtId="0" fontId="64" fillId="4" borderId="1" xfId="0" applyFont="1" applyFill="1" applyBorder="1" applyAlignment="1">
      <alignment horizontal="left" vertical="top" wrapText="1"/>
    </xf>
    <xf numFmtId="0" fontId="64" fillId="2" borderId="1" xfId="0" applyFont="1" applyFill="1" applyBorder="1" applyAlignment="1">
      <alignment horizontal="left" vertical="top" wrapText="1"/>
    </xf>
    <xf numFmtId="0" fontId="4" fillId="0" borderId="0" xfId="0" applyFont="1"/>
    <xf numFmtId="0" fontId="0" fillId="12" borderId="0" xfId="0" applyFill="1"/>
    <xf numFmtId="0" fontId="34" fillId="0" borderId="52" xfId="0" applyFont="1" applyBorder="1"/>
    <xf numFmtId="0" fontId="65" fillId="0" borderId="0" xfId="0" applyFont="1"/>
    <xf numFmtId="0" fontId="66" fillId="2" borderId="1" xfId="0" applyFont="1" applyFill="1" applyBorder="1" applyAlignment="1">
      <alignment horizontal="left" vertical="top" wrapText="1"/>
    </xf>
    <xf numFmtId="0" fontId="67" fillId="2" borderId="1" xfId="0" applyFont="1" applyFill="1" applyBorder="1" applyAlignment="1">
      <alignment horizontal="left" vertical="top" wrapText="1"/>
    </xf>
    <xf numFmtId="0" fontId="67" fillId="4" borderId="1" xfId="0" applyFont="1" applyFill="1" applyBorder="1" applyAlignment="1">
      <alignment horizontal="left" vertical="top" wrapText="1"/>
    </xf>
    <xf numFmtId="0" fontId="68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2"/>
    </xf>
    <xf numFmtId="0" fontId="22" fillId="0" borderId="0" xfId="0" applyFont="1" applyAlignment="1">
      <alignment vertical="center"/>
    </xf>
    <xf numFmtId="0" fontId="69" fillId="0" borderId="0" xfId="0" applyFont="1"/>
    <xf numFmtId="0" fontId="70" fillId="0" borderId="0" xfId="0" applyFont="1" applyAlignment="1">
      <alignment vertical="top"/>
    </xf>
    <xf numFmtId="0" fontId="0" fillId="10" borderId="4" xfId="0" applyFill="1" applyBorder="1"/>
    <xf numFmtId="0" fontId="0" fillId="12" borderId="1" xfId="0" applyFill="1" applyBorder="1"/>
    <xf numFmtId="0" fontId="0" fillId="13" borderId="1" xfId="0" applyFill="1" applyBorder="1"/>
    <xf numFmtId="0" fontId="3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0" fillId="14" borderId="1" xfId="0" applyFill="1" applyBorder="1"/>
    <xf numFmtId="0" fontId="77" fillId="0" borderId="0" xfId="0" applyFont="1" applyAlignment="1">
      <alignment vertical="center"/>
    </xf>
    <xf numFmtId="0" fontId="76" fillId="0" borderId="0" xfId="0" applyFont="1"/>
    <xf numFmtId="0" fontId="34" fillId="2" borderId="1" xfId="0" applyFont="1" applyFill="1" applyBorder="1" applyAlignment="1">
      <alignment horizontal="left" vertical="top" wrapText="1" indent="1"/>
    </xf>
    <xf numFmtId="0" fontId="22" fillId="0" borderId="0" xfId="0" applyFont="1"/>
    <xf numFmtId="1" fontId="7" fillId="2" borderId="1" xfId="0" applyNumberFormat="1" applyFont="1" applyFill="1" applyBorder="1" applyAlignment="1">
      <alignment vertical="top" wrapText="1"/>
    </xf>
    <xf numFmtId="1" fontId="7" fillId="4" borderId="1" xfId="0" applyNumberFormat="1" applyFont="1" applyFill="1" applyBorder="1" applyAlignment="1">
      <alignment vertical="top" wrapText="1"/>
    </xf>
    <xf numFmtId="1" fontId="7" fillId="0" borderId="1" xfId="0" applyNumberFormat="1" applyFont="1" applyBorder="1" applyAlignment="1">
      <alignment vertical="top"/>
    </xf>
    <xf numFmtId="1" fontId="7" fillId="10" borderId="1" xfId="0" applyNumberFormat="1" applyFont="1" applyFill="1" applyBorder="1" applyAlignment="1">
      <alignment vertical="top" wrapText="1"/>
    </xf>
    <xf numFmtId="0" fontId="78" fillId="2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vertical="center"/>
    </xf>
    <xf numFmtId="0" fontId="16" fillId="0" borderId="0" xfId="0" applyFont="1"/>
    <xf numFmtId="165" fontId="0" fillId="0" borderId="0" xfId="0" applyNumberFormat="1"/>
    <xf numFmtId="1" fontId="7" fillId="5" borderId="1" xfId="0" applyNumberFormat="1" applyFont="1" applyFill="1" applyBorder="1" applyAlignment="1">
      <alignment vertical="top" wrapText="1"/>
    </xf>
    <xf numFmtId="1" fontId="7" fillId="5" borderId="1" xfId="0" applyNumberFormat="1" applyFont="1" applyFill="1" applyBorder="1" applyAlignment="1">
      <alignment vertical="top"/>
    </xf>
    <xf numFmtId="1" fontId="7" fillId="11" borderId="1" xfId="0" applyNumberFormat="1" applyFont="1" applyFill="1" applyBorder="1" applyAlignment="1">
      <alignment vertical="top"/>
    </xf>
    <xf numFmtId="0" fontId="23" fillId="10" borderId="29" xfId="0" applyFont="1" applyFill="1" applyBorder="1" applyAlignment="1">
      <alignment horizontal="left" vertical="top"/>
    </xf>
    <xf numFmtId="0" fontId="23" fillId="10" borderId="28" xfId="0" applyFont="1" applyFill="1" applyBorder="1"/>
    <xf numFmtId="0" fontId="0" fillId="10" borderId="28" xfId="0" applyFill="1" applyBorder="1"/>
    <xf numFmtId="0" fontId="0" fillId="0" borderId="30" xfId="0" applyBorder="1"/>
    <xf numFmtId="0" fontId="0" fillId="0" borderId="29" xfId="0" applyBorder="1"/>
    <xf numFmtId="0" fontId="2" fillId="0" borderId="0" xfId="0" applyFont="1" applyAlignment="1">
      <alignment horizontal="left" vertical="top" wrapText="1"/>
    </xf>
    <xf numFmtId="0" fontId="81" fillId="0" borderId="0" xfId="6" applyFont="1"/>
  </cellXfs>
  <cellStyles count="7">
    <cellStyle name="GrayCell" xfId="4" xr:uid="{A74E270F-80E7-4F40-BDA2-8A399069D92F}"/>
    <cellStyle name="OrangeBorder" xfId="1" xr:uid="{2E159617-C745-4BCF-BB22-75CD98479B7B}"/>
    <cellStyle name="YellowCell" xfId="2" xr:uid="{883C8F92-1E0B-4371-95B1-D498B776C36E}"/>
    <cellStyle name="Гиперссылка" xfId="6" builtinId="8"/>
    <cellStyle name="Заголовок 3 2" xfId="5" xr:uid="{F607AFA3-7B69-4963-91B1-39E809A6C1D9}"/>
    <cellStyle name="Обычный" xfId="0" builtinId="0"/>
    <cellStyle name="Обычный 2" xfId="3" xr:uid="{A5A06E2B-B615-4A37-A9D0-22B258A86DC3}"/>
  </cellStyles>
  <dxfs count="18">
    <dxf>
      <alignment horizontal="left" vertical="top" textRotation="0" wrapText="0" indent="0" justifyLastLine="0" shrinkToFit="0" readingOrder="0"/>
      <border diagonalUp="0" diagonalDown="0">
        <left/>
        <right style="thin">
          <color rgb="FFC00000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/>
        <right style="thin">
          <color rgb="FFC00000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rgb="FFC00000"/>
        </bottom>
      </border>
    </dxf>
    <dxf>
      <border outline="0"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 outline="0"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D5216E"/>
      <color rgb="FFEE92B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180975</xdr:colOff>
      <xdr:row>1</xdr:row>
      <xdr:rowOff>9525</xdr:rowOff>
    </xdr:from>
    <xdr:to>
      <xdr:col>23</xdr:col>
      <xdr:colOff>504825</xdr:colOff>
      <xdr:row>20</xdr:row>
      <xdr:rowOff>57150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2E9BCA0-33FA-05F3-52C5-FCAD7820E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6175" y="304800"/>
          <a:ext cx="4591050" cy="3781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4AC327-C186-4059-A67B-4A0A0A596FCF}" name="Таблица1" displayName="Таблица1" ref="H5:J10" totalsRowShown="0" headerRowBorderDxfId="17" tableBorderDxfId="16" totalsRowBorderDxfId="15">
  <autoFilter ref="H5:J10" xr:uid="{695F4FE2-1441-4379-9BF9-2C99989A3C70}"/>
  <tableColumns count="3">
    <tableColumn id="1" xr3:uid="{7EB34207-3E16-4024-8680-0027B3193D81}" name="должность" dataDxfId="14"/>
    <tableColumn id="2" xr3:uid="{C66B071A-B3CA-4D54-B775-B5A08D796774}" name="Премия (%)" dataDxfId="13"/>
    <tableColumn id="3" xr3:uid="{36BA22C9-026A-4C3B-9171-94A52F783632}" name="отдел" dataDxfId="1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87212B-7B09-4F22-97AC-801F832DDF2F}" name="Таблица2" displayName="Таблица2" ref="E1:J3" totalsRowShown="0" headerRowDxfId="11" headerRowBorderDxfId="10" tableBorderDxfId="9" totalsRowBorderDxfId="8">
  <autoFilter ref="E1:J3" xr:uid="{535B91EB-FE7F-475E-B6E9-4E4A2DFE038B}"/>
  <tableColumns count="6">
    <tableColumn id="1" xr3:uid="{11EE1D34-23A3-443A-B756-B4F69AA5CD44}" name="должность"/>
    <tableColumn id="2" xr3:uid="{D70F4B9E-F558-48BA-A621-E1D26905CB4F}" name="Аналитик"/>
    <tableColumn id="3" xr3:uid="{3992CADB-004C-462B-AE6B-B015EE13E238}" name="Разработчик"/>
    <tableColumn id="4" xr3:uid="{309352EF-B078-4E10-9D55-3B4B8F527E51}" name="Менеджер"/>
    <tableColumn id="5" xr3:uid="{BC2AB90E-B0CC-4225-894B-8C6396C83962}" name="Тестировщик"/>
    <tableColumn id="6" xr3:uid="{A7E0E3C5-1B20-4794-A602-262B58A80A91}" name="Cтажер"/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A804DC-6650-4439-A416-68C73EF30A97}" name="Таблица3" displayName="Таблица3" ref="A1:D6" totalsRowShown="0" headerRowDxfId="7" headerRowBorderDxfId="6" tableBorderDxfId="5" totalsRowBorderDxfId="4">
  <autoFilter ref="A1:D6" xr:uid="{A7B8C5EA-8EAB-40C5-B5F7-234B18876061}"/>
  <tableColumns count="4">
    <tableColumn id="1" xr3:uid="{E37B3ABD-1FBA-4F91-8CFA-08DD7F5C1790}" name="ID сотрудника" dataDxfId="3"/>
    <tableColumn id="2" xr3:uid="{B514BC93-8254-4A83-8AC8-7F31B3E41F27}" name="ФИО" dataDxfId="2"/>
    <tableColumn id="3" xr3:uid="{FDAD5542-2D40-4DDE-A053-50BD53558AEE}" name="Должность" dataDxfId="1"/>
    <tableColumn id="4" xr3:uid="{E632D880-865C-4DE1-844E-19D91ABAFF9F}" name="Зарплата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ludochekger@yandex.ru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B30E-CDBC-45B0-8213-0A1AB3B47B1A}">
  <dimension ref="A1:L19"/>
  <sheetViews>
    <sheetView workbookViewId="0">
      <selection activeCell="F18" sqref="F18"/>
    </sheetView>
  </sheetViews>
  <sheetFormatPr defaultRowHeight="15" x14ac:dyDescent="0.25"/>
  <cols>
    <col min="1" max="5" width="13.28515625" customWidth="1"/>
    <col min="7" max="7" width="7.140625" customWidth="1"/>
  </cols>
  <sheetData>
    <row r="1" spans="1:12" ht="15.75" x14ac:dyDescent="0.25">
      <c r="A1" s="8" t="s">
        <v>20</v>
      </c>
      <c r="B1" s="9" t="s">
        <v>21</v>
      </c>
      <c r="C1" s="8" t="s">
        <v>38</v>
      </c>
      <c r="D1" s="12" t="s">
        <v>30</v>
      </c>
      <c r="E1" s="8" t="s">
        <v>31</v>
      </c>
      <c r="H1" s="2" t="s">
        <v>0</v>
      </c>
      <c r="I1" s="2" t="s">
        <v>0</v>
      </c>
    </row>
    <row r="2" spans="1:12" ht="15.75" x14ac:dyDescent="0.25">
      <c r="A2" s="6" t="s">
        <v>22</v>
      </c>
      <c r="B2" s="10" t="s">
        <v>23</v>
      </c>
      <c r="C2" s="6">
        <v>12000000</v>
      </c>
      <c r="D2" s="13" t="s">
        <v>32</v>
      </c>
      <c r="E2" s="6">
        <v>35</v>
      </c>
      <c r="H2" s="2"/>
      <c r="I2" s="2"/>
    </row>
    <row r="3" spans="1:12" ht="31.5" x14ac:dyDescent="0.25">
      <c r="A3" s="7" t="s">
        <v>22</v>
      </c>
      <c r="B3" s="11" t="s">
        <v>24</v>
      </c>
      <c r="C3" s="7">
        <v>5000000</v>
      </c>
      <c r="D3" s="14" t="s">
        <v>33</v>
      </c>
      <c r="E3" s="7">
        <v>42</v>
      </c>
      <c r="H3" s="2">
        <v>6</v>
      </c>
      <c r="I3" s="2"/>
      <c r="K3" t="s">
        <v>553</v>
      </c>
    </row>
    <row r="4" spans="1:12" ht="15.75" x14ac:dyDescent="0.25">
      <c r="A4" s="6" t="s">
        <v>25</v>
      </c>
      <c r="B4" s="10" t="s">
        <v>26</v>
      </c>
      <c r="C4" s="6">
        <v>3700000</v>
      </c>
      <c r="D4" s="13" t="s">
        <v>34</v>
      </c>
      <c r="E4" s="6" t="s">
        <v>35</v>
      </c>
      <c r="H4" s="2"/>
      <c r="I4" s="2">
        <v>27</v>
      </c>
    </row>
    <row r="5" spans="1:12" ht="15.75" x14ac:dyDescent="0.25">
      <c r="A5" s="7" t="s">
        <v>22</v>
      </c>
      <c r="B5" s="11" t="s">
        <v>27</v>
      </c>
      <c r="C5" s="7">
        <v>1200000</v>
      </c>
      <c r="D5" s="14" t="s">
        <v>36</v>
      </c>
      <c r="E5" s="15"/>
      <c r="H5" s="2">
        <v>4</v>
      </c>
      <c r="I5" s="2">
        <v>34</v>
      </c>
    </row>
    <row r="6" spans="1:12" ht="15.75" x14ac:dyDescent="0.25">
      <c r="A6" s="6" t="s">
        <v>28</v>
      </c>
      <c r="B6" s="10" t="s">
        <v>29</v>
      </c>
      <c r="C6" s="6">
        <v>2100000</v>
      </c>
      <c r="D6" s="13" t="s">
        <v>37</v>
      </c>
      <c r="E6" s="6">
        <v>28</v>
      </c>
      <c r="H6" s="2"/>
      <c r="I6" s="2" t="s">
        <v>552</v>
      </c>
    </row>
    <row r="7" spans="1:12" ht="15.75" x14ac:dyDescent="0.25">
      <c r="A7" s="6" t="s">
        <v>28</v>
      </c>
      <c r="B7" s="10" t="s">
        <v>29</v>
      </c>
      <c r="C7" s="6">
        <v>2100001</v>
      </c>
      <c r="D7" s="13" t="s">
        <v>37</v>
      </c>
      <c r="E7" s="6" t="s">
        <v>552</v>
      </c>
      <c r="H7" s="169">
        <f>COUNTIF(I2:I6,"")</f>
        <v>2</v>
      </c>
      <c r="I7" s="1" t="s">
        <v>45</v>
      </c>
      <c r="L7" t="s">
        <v>134</v>
      </c>
    </row>
    <row r="8" spans="1:12" x14ac:dyDescent="0.25">
      <c r="H8" s="144">
        <f>COUNTIF(H2:I6,"")</f>
        <v>5</v>
      </c>
      <c r="I8" s="1" t="s">
        <v>133</v>
      </c>
      <c r="L8" t="s">
        <v>135</v>
      </c>
    </row>
    <row r="9" spans="1:12" x14ac:dyDescent="0.25">
      <c r="B9" s="16" t="s">
        <v>130</v>
      </c>
      <c r="C9" s="286" t="s">
        <v>550</v>
      </c>
      <c r="F9" s="144">
        <f>COUNT(E2:E7)</f>
        <v>3</v>
      </c>
    </row>
    <row r="10" spans="1:12" x14ac:dyDescent="0.25">
      <c r="B10" s="1" t="s">
        <v>131</v>
      </c>
      <c r="C10" s="287" t="s">
        <v>551</v>
      </c>
      <c r="F10" s="144">
        <f>COUNTA(E2:E7)</f>
        <v>5</v>
      </c>
      <c r="I10" s="37" t="s">
        <v>46</v>
      </c>
      <c r="L10" t="s">
        <v>49</v>
      </c>
    </row>
    <row r="11" spans="1:12" x14ac:dyDescent="0.25">
      <c r="B11" s="1" t="s">
        <v>132</v>
      </c>
      <c r="F11" s="144">
        <f>COUNTIF(A1:A7, "Россия")</f>
        <v>3</v>
      </c>
      <c r="H11" s="144">
        <f>5* 2- COUNTA(H2:I6)</f>
        <v>5</v>
      </c>
      <c r="I11" s="1" t="s">
        <v>570</v>
      </c>
      <c r="L11" t="s">
        <v>47</v>
      </c>
    </row>
    <row r="12" spans="1:12" x14ac:dyDescent="0.25">
      <c r="B12" s="1" t="s">
        <v>136</v>
      </c>
      <c r="F12" s="144">
        <f>COUNTIFS(A2:A7,"Россия",C2:C7,"&gt;2000000")</f>
        <v>2</v>
      </c>
      <c r="I12" s="1" t="s">
        <v>48</v>
      </c>
    </row>
    <row r="18" spans="1:1" x14ac:dyDescent="0.25">
      <c r="A18" s="37" t="s">
        <v>127</v>
      </c>
    </row>
    <row r="19" spans="1:1" x14ac:dyDescent="0.25">
      <c r="A19" s="1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A51D3-AC4D-411B-BF98-B62FCEAD7C98}">
  <dimension ref="A1:F25"/>
  <sheetViews>
    <sheetView workbookViewId="0">
      <selection activeCell="A10" sqref="A10"/>
    </sheetView>
  </sheetViews>
  <sheetFormatPr defaultRowHeight="15" x14ac:dyDescent="0.25"/>
  <cols>
    <col min="1" max="2" width="16.5703125" customWidth="1"/>
    <col min="9" max="9" width="11" customWidth="1"/>
  </cols>
  <sheetData>
    <row r="1" spans="1:6" ht="17.25" x14ac:dyDescent="0.25">
      <c r="A1" s="47" t="s">
        <v>39</v>
      </c>
      <c r="B1" s="47" t="s">
        <v>3</v>
      </c>
      <c r="D1" s="48">
        <v>150</v>
      </c>
    </row>
    <row r="2" spans="1:6" ht="17.25" x14ac:dyDescent="0.25">
      <c r="A2" s="47" t="s">
        <v>190</v>
      </c>
      <c r="B2" s="47">
        <v>150</v>
      </c>
    </row>
    <row r="3" spans="1:6" ht="17.25" x14ac:dyDescent="0.25">
      <c r="A3" s="49" t="s">
        <v>191</v>
      </c>
      <c r="B3" s="49">
        <v>200</v>
      </c>
    </row>
    <row r="4" spans="1:6" ht="17.25" x14ac:dyDescent="0.25">
      <c r="A4" s="47" t="s">
        <v>42</v>
      </c>
      <c r="B4" s="47">
        <v>150</v>
      </c>
    </row>
    <row r="5" spans="1:6" ht="17.25" x14ac:dyDescent="0.25">
      <c r="A5" s="49" t="s">
        <v>41</v>
      </c>
      <c r="B5" s="49">
        <v>100</v>
      </c>
    </row>
    <row r="6" spans="1:6" ht="17.25" x14ac:dyDescent="0.25">
      <c r="A6" s="47" t="s">
        <v>190</v>
      </c>
      <c r="B6" s="47">
        <v>180</v>
      </c>
    </row>
    <row r="7" spans="1:6" ht="17.25" x14ac:dyDescent="0.25">
      <c r="A7" s="49" t="s">
        <v>192</v>
      </c>
      <c r="B7" s="49">
        <v>220</v>
      </c>
    </row>
    <row r="8" spans="1:6" ht="17.25" x14ac:dyDescent="0.25">
      <c r="A8" s="47" t="s">
        <v>191</v>
      </c>
      <c r="B8" s="47">
        <v>200</v>
      </c>
    </row>
    <row r="9" spans="1:6" ht="17.25" x14ac:dyDescent="0.25">
      <c r="A9" s="49" t="s">
        <v>42</v>
      </c>
      <c r="B9" s="49">
        <v>150</v>
      </c>
    </row>
    <row r="10" spans="1:6" ht="17.25" x14ac:dyDescent="0.25">
      <c r="A10" s="47" t="s">
        <v>193</v>
      </c>
      <c r="B10" s="47">
        <v>180</v>
      </c>
    </row>
    <row r="12" spans="1:6" x14ac:dyDescent="0.25">
      <c r="A12" s="25" t="s">
        <v>194</v>
      </c>
    </row>
    <row r="14" spans="1:6" x14ac:dyDescent="0.25">
      <c r="A14" s="50" t="s">
        <v>195</v>
      </c>
    </row>
    <row r="15" spans="1:6" x14ac:dyDescent="0.25">
      <c r="A15" s="1" t="s">
        <v>196</v>
      </c>
      <c r="F15" s="51">
        <f>COUNTIF(A1:A10,"Север")</f>
        <v>2</v>
      </c>
    </row>
    <row r="17" spans="1:6" x14ac:dyDescent="0.25">
      <c r="A17" s="50" t="s">
        <v>197</v>
      </c>
    </row>
    <row r="18" spans="1:6" x14ac:dyDescent="0.25">
      <c r="A18" s="1" t="s">
        <v>198</v>
      </c>
      <c r="F18" s="51">
        <f>COUNTIF(B1:B10,"&gt;150")</f>
        <v>5</v>
      </c>
    </row>
    <row r="20" spans="1:6" x14ac:dyDescent="0.25">
      <c r="A20" s="50" t="s">
        <v>199</v>
      </c>
    </row>
    <row r="21" spans="1:6" x14ac:dyDescent="0.25">
      <c r="A21" s="1" t="s">
        <v>200</v>
      </c>
      <c r="F21" s="51">
        <f>COUNTIF(B1:B10,D1)</f>
        <v>3</v>
      </c>
    </row>
    <row r="23" spans="1:6" x14ac:dyDescent="0.25">
      <c r="A23" s="50" t="s">
        <v>201</v>
      </c>
    </row>
    <row r="24" spans="1:6" x14ac:dyDescent="0.25">
      <c r="A24" s="1" t="s">
        <v>202</v>
      </c>
      <c r="F24" s="51">
        <f>COUNTIF(A1:A10,"*Сев*")</f>
        <v>3</v>
      </c>
    </row>
    <row r="25" spans="1:6" x14ac:dyDescent="0.25">
      <c r="A25" s="50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9EB0-CA98-4859-8EBB-05D005E82911}">
  <dimension ref="A1:H20"/>
  <sheetViews>
    <sheetView workbookViewId="0">
      <selection activeCell="B20" sqref="B20"/>
    </sheetView>
  </sheetViews>
  <sheetFormatPr defaultRowHeight="15" x14ac:dyDescent="0.25"/>
  <cols>
    <col min="1" max="2" width="13.5703125" customWidth="1"/>
    <col min="3" max="4" width="15" customWidth="1"/>
  </cols>
  <sheetData>
    <row r="1" spans="1:8" ht="15.75" x14ac:dyDescent="0.25">
      <c r="A1" s="5" t="s">
        <v>2</v>
      </c>
      <c r="B1" s="5" t="s">
        <v>3</v>
      </c>
      <c r="C1" s="5" t="s">
        <v>39</v>
      </c>
      <c r="D1" s="5" t="s">
        <v>40</v>
      </c>
      <c r="E1" s="36" t="s">
        <v>124</v>
      </c>
    </row>
    <row r="2" spans="1:8" ht="15.75" x14ac:dyDescent="0.25">
      <c r="A2" s="6" t="s">
        <v>4</v>
      </c>
      <c r="B2" s="6">
        <v>15000</v>
      </c>
      <c r="C2" s="6" t="s">
        <v>41</v>
      </c>
      <c r="D2" s="6" t="s">
        <v>32</v>
      </c>
      <c r="E2" s="2"/>
      <c r="H2" s="34" t="s">
        <v>126</v>
      </c>
    </row>
    <row r="3" spans="1:8" ht="15.75" x14ac:dyDescent="0.25">
      <c r="A3" s="7" t="s">
        <v>5</v>
      </c>
      <c r="B3" s="7">
        <v>18000</v>
      </c>
      <c r="C3" s="7" t="s">
        <v>42</v>
      </c>
      <c r="D3" s="7" t="s">
        <v>33</v>
      </c>
      <c r="E3" s="2"/>
      <c r="H3" s="35" t="s">
        <v>128</v>
      </c>
    </row>
    <row r="4" spans="1:8" ht="15.75" x14ac:dyDescent="0.25">
      <c r="A4" s="6" t="s">
        <v>6</v>
      </c>
      <c r="B4" s="6">
        <v>22000</v>
      </c>
      <c r="C4" s="285" t="s">
        <v>41</v>
      </c>
      <c r="D4" s="285" t="s">
        <v>34</v>
      </c>
      <c r="E4" s="2">
        <v>1</v>
      </c>
    </row>
    <row r="5" spans="1:8" ht="15.75" x14ac:dyDescent="0.25">
      <c r="A5" s="7" t="s">
        <v>7</v>
      </c>
      <c r="B5" s="7">
        <v>20000</v>
      </c>
      <c r="C5" s="7" t="s">
        <v>42</v>
      </c>
      <c r="D5" s="7" t="s">
        <v>33</v>
      </c>
      <c r="E5" s="2"/>
    </row>
    <row r="6" spans="1:8" ht="15.75" x14ac:dyDescent="0.25">
      <c r="A6" s="6" t="s">
        <v>8</v>
      </c>
      <c r="B6" s="6">
        <v>25000</v>
      </c>
      <c r="C6" s="6" t="s">
        <v>41</v>
      </c>
      <c r="D6" s="6" t="s">
        <v>32</v>
      </c>
      <c r="E6" s="2"/>
    </row>
    <row r="7" spans="1:8" ht="15.75" x14ac:dyDescent="0.25">
      <c r="A7" s="7" t="s">
        <v>9</v>
      </c>
      <c r="B7" s="7">
        <v>28000</v>
      </c>
      <c r="C7" s="7" t="s">
        <v>42</v>
      </c>
      <c r="D7" s="7" t="s">
        <v>34</v>
      </c>
      <c r="E7" s="2">
        <v>2</v>
      </c>
    </row>
    <row r="8" spans="1:8" ht="15.75" x14ac:dyDescent="0.25">
      <c r="A8" s="6" t="s">
        <v>10</v>
      </c>
      <c r="B8" s="6">
        <v>30000</v>
      </c>
      <c r="C8" s="285" t="s">
        <v>41</v>
      </c>
      <c r="D8" s="285" t="s">
        <v>34</v>
      </c>
      <c r="E8" s="2">
        <v>1</v>
      </c>
    </row>
    <row r="9" spans="1:8" ht="15.75" x14ac:dyDescent="0.25">
      <c r="A9" s="7" t="s">
        <v>11</v>
      </c>
      <c r="B9" s="7">
        <v>27000</v>
      </c>
      <c r="C9" s="7" t="s">
        <v>42</v>
      </c>
      <c r="D9" s="7" t="s">
        <v>33</v>
      </c>
      <c r="E9" s="2"/>
    </row>
    <row r="10" spans="1:8" ht="15.75" x14ac:dyDescent="0.25">
      <c r="A10" s="6" t="s">
        <v>12</v>
      </c>
      <c r="B10" s="6">
        <v>23000</v>
      </c>
      <c r="C10" s="6" t="s">
        <v>41</v>
      </c>
      <c r="D10" s="6" t="s">
        <v>32</v>
      </c>
      <c r="E10" s="2"/>
    </row>
    <row r="11" spans="1:8" ht="15.75" x14ac:dyDescent="0.25">
      <c r="A11" s="7" t="s">
        <v>13</v>
      </c>
      <c r="B11" s="7">
        <v>21000</v>
      </c>
      <c r="C11" s="7" t="s">
        <v>42</v>
      </c>
      <c r="D11" s="7" t="s">
        <v>34</v>
      </c>
      <c r="E11" s="2">
        <v>1</v>
      </c>
    </row>
    <row r="12" spans="1:8" ht="15.75" x14ac:dyDescent="0.25">
      <c r="A12" s="6" t="s">
        <v>14</v>
      </c>
      <c r="B12" s="6">
        <v>19000</v>
      </c>
      <c r="C12" s="285" t="s">
        <v>41</v>
      </c>
      <c r="D12" s="285" t="s">
        <v>34</v>
      </c>
      <c r="E12" s="2">
        <v>2</v>
      </c>
    </row>
    <row r="13" spans="1:8" ht="15.75" x14ac:dyDescent="0.25">
      <c r="A13" s="7" t="s">
        <v>15</v>
      </c>
      <c r="B13" s="7">
        <v>24000</v>
      </c>
      <c r="C13" s="7" t="s">
        <v>42</v>
      </c>
      <c r="D13" s="7" t="s">
        <v>33</v>
      </c>
      <c r="E13" s="2"/>
    </row>
    <row r="14" spans="1:8" ht="15.75" x14ac:dyDescent="0.25">
      <c r="A14" s="17" t="s">
        <v>16</v>
      </c>
      <c r="B14" s="169">
        <f>SUM(B2:B13)</f>
        <v>272000</v>
      </c>
      <c r="C14" s="1" t="s">
        <v>413</v>
      </c>
    </row>
    <row r="15" spans="1:8" ht="15.75" x14ac:dyDescent="0.25">
      <c r="A15" s="4" t="s">
        <v>17</v>
      </c>
      <c r="B15" s="144">
        <f>AVERAGE(B2:B13)</f>
        <v>22666.666666666668</v>
      </c>
      <c r="C15" s="1" t="s">
        <v>412</v>
      </c>
    </row>
    <row r="16" spans="1:8" ht="15.75" x14ac:dyDescent="0.25">
      <c r="A16" s="3" t="s">
        <v>18</v>
      </c>
      <c r="B16" s="144">
        <f>MIN(B2:B13)</f>
        <v>15000</v>
      </c>
      <c r="C16" s="1" t="s">
        <v>414</v>
      </c>
    </row>
    <row r="17" spans="1:8" ht="15.75" x14ac:dyDescent="0.25">
      <c r="A17" s="177" t="s">
        <v>19</v>
      </c>
      <c r="B17" s="144">
        <f>MAX(B2:B14)</f>
        <v>272000</v>
      </c>
      <c r="C17" s="1" t="s">
        <v>415</v>
      </c>
    </row>
    <row r="18" spans="1:8" ht="15.75" x14ac:dyDescent="0.25">
      <c r="A18" s="178"/>
      <c r="B18" s="144">
        <f>SUMIF(C2:C13,"Запад",B2:B13)</f>
        <v>134000</v>
      </c>
      <c r="C18" s="1" t="s">
        <v>416</v>
      </c>
      <c r="H18" s="19" t="s">
        <v>44</v>
      </c>
    </row>
    <row r="19" spans="1:8" ht="15.75" x14ac:dyDescent="0.25">
      <c r="A19" s="178"/>
      <c r="B19" s="144">
        <f>SUMIFS(B2:B13,C2:C13,"Запад",D2:D13, "Сидоров")</f>
        <v>71000</v>
      </c>
      <c r="C19" s="1" t="s">
        <v>123</v>
      </c>
      <c r="H19" s="19" t="s">
        <v>43</v>
      </c>
    </row>
    <row r="20" spans="1:8" x14ac:dyDescent="0.25">
      <c r="B20" s="144">
        <f>SUMIFS(B2:B13,C2:C13,"Запад",D2:D13, "Сидоров",E2:E13,"1")</f>
        <v>52000</v>
      </c>
      <c r="C20" s="1" t="s">
        <v>125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226F-906C-4E4D-A191-F875D5B314D2}">
  <dimension ref="A1:F34"/>
  <sheetViews>
    <sheetView topLeftCell="A10" workbookViewId="0">
      <selection activeCell="C33" sqref="C33"/>
    </sheetView>
  </sheetViews>
  <sheetFormatPr defaultRowHeight="15" x14ac:dyDescent="0.25"/>
  <cols>
    <col min="1" max="1" width="39.140625" customWidth="1"/>
    <col min="2" max="2" width="15.140625" customWidth="1"/>
    <col min="3" max="3" width="20.42578125" customWidth="1"/>
    <col min="4" max="4" width="16.140625" customWidth="1"/>
    <col min="5" max="5" width="20.28515625" customWidth="1"/>
    <col min="6" max="6" width="36.85546875" customWidth="1"/>
    <col min="10" max="12" width="11.140625" customWidth="1"/>
  </cols>
  <sheetData>
    <row r="1" spans="1:6" ht="15.75" thickBot="1" x14ac:dyDescent="0.3">
      <c r="A1" t="s">
        <v>58</v>
      </c>
    </row>
    <row r="2" spans="1:6" ht="15.75" thickBot="1" x14ac:dyDescent="0.3">
      <c r="A2" s="24" t="s">
        <v>50</v>
      </c>
      <c r="B2" s="173" t="s">
        <v>40</v>
      </c>
      <c r="C2" s="174" t="str">
        <f>LEFT(A2,SEARCH(" ",A2)-1)</f>
        <v>Иванов</v>
      </c>
      <c r="D2" s="171" t="str">
        <f t="shared" ref="D2:D10" si="0">MID(A2,SEARCH(" ",A2)+1,SEARCH(" ",A2,SEARCH(" ",A2)+1)-SEARCH(" ",A2)-1)</f>
        <v>Иван</v>
      </c>
      <c r="E2" s="171" t="str">
        <f t="shared" ref="E2:E10" si="1">MID(A2,SEARCH(" ",A2,SEARCH(" ",A2)+1)+1,LEN(A2)-SEARCH(" ",A2,SEARCH(" ",A2)+1))</f>
        <v>Иванович</v>
      </c>
      <c r="F2" s="172" t="str">
        <f>B2&amp;" "&amp;LEFT(A2,SEARCH(" ",A2)-1)&amp;" "&amp;MID(A2,SEARCH(" ",A2)+1,SEARCH(" ",A2,SEARCH(" ",A2)+1)-SEARCH(" ",A2)-1)</f>
        <v>Менеджер Иванов Иван</v>
      </c>
    </row>
    <row r="3" spans="1:6" ht="15.75" thickBot="1" x14ac:dyDescent="0.3">
      <c r="A3" s="24" t="s">
        <v>71</v>
      </c>
      <c r="B3" s="2" t="s">
        <v>67</v>
      </c>
      <c r="C3" s="174" t="str">
        <f t="shared" ref="C3:C10" si="2">LEFT(A3,SEARCH(" ",A3)-1)</f>
        <v>Петров</v>
      </c>
      <c r="D3" s="171" t="str">
        <f t="shared" si="0"/>
        <v>Иван</v>
      </c>
      <c r="E3" s="169" t="str">
        <f t="shared" si="1"/>
        <v xml:space="preserve">Петрович </v>
      </c>
      <c r="F3" s="169" t="str">
        <f t="shared" ref="F3:F10" si="3">B3&amp;" "&amp;LEFT(A3,SEARCH(" ",A3)-1)&amp;" "&amp;MID(A3,SEARCH(" ",A3)+1,SEARCH(" ",A3,SEARCH(" ",A3)+1)-SEARCH(" ",A3)-1)</f>
        <v>Аналитик Петров Иван</v>
      </c>
    </row>
    <row r="4" spans="1:6" ht="15.75" thickBot="1" x14ac:dyDescent="0.3">
      <c r="A4" s="24" t="s">
        <v>60</v>
      </c>
      <c r="B4" s="2" t="s">
        <v>69</v>
      </c>
      <c r="C4" s="174" t="str">
        <f t="shared" si="2"/>
        <v>Петров</v>
      </c>
      <c r="D4" s="171" t="str">
        <f t="shared" si="0"/>
        <v>Петр</v>
      </c>
      <c r="E4" s="144" t="str">
        <f t="shared" si="1"/>
        <v>Иванович</v>
      </c>
      <c r="F4" s="144" t="str">
        <f t="shared" si="3"/>
        <v>Программист Петров Петр</v>
      </c>
    </row>
    <row r="5" spans="1:6" ht="15.75" thickBot="1" x14ac:dyDescent="0.3">
      <c r="A5" s="24" t="s">
        <v>51</v>
      </c>
      <c r="B5" s="2" t="s">
        <v>40</v>
      </c>
      <c r="C5" s="174" t="str">
        <f t="shared" si="2"/>
        <v>Петров</v>
      </c>
      <c r="D5" s="171" t="str">
        <f t="shared" si="0"/>
        <v>Петр</v>
      </c>
      <c r="E5" s="144" t="str">
        <f t="shared" si="1"/>
        <v xml:space="preserve">Петрович </v>
      </c>
      <c r="F5" s="144" t="str">
        <f t="shared" si="3"/>
        <v>Менеджер Петров Петр</v>
      </c>
    </row>
    <row r="6" spans="1:6" ht="15.75" thickBot="1" x14ac:dyDescent="0.3">
      <c r="A6" s="24" t="s">
        <v>52</v>
      </c>
      <c r="B6" s="2" t="s">
        <v>67</v>
      </c>
      <c r="C6" s="174" t="str">
        <f t="shared" si="2"/>
        <v>Васечкин</v>
      </c>
      <c r="D6" s="171" t="str">
        <f t="shared" si="0"/>
        <v>Василий</v>
      </c>
      <c r="E6" s="144" t="str">
        <f t="shared" si="1"/>
        <v>Васильевич</v>
      </c>
      <c r="F6" s="144" t="str">
        <f t="shared" si="3"/>
        <v>Аналитик Васечкин Василий</v>
      </c>
    </row>
    <row r="7" spans="1:6" ht="15.75" thickBot="1" x14ac:dyDescent="0.3">
      <c r="A7" s="24" t="s">
        <v>53</v>
      </c>
      <c r="B7" s="2" t="s">
        <v>69</v>
      </c>
      <c r="C7" s="174" t="str">
        <f t="shared" si="2"/>
        <v>Олегов</v>
      </c>
      <c r="D7" s="171" t="str">
        <f t="shared" si="0"/>
        <v>Олег</v>
      </c>
      <c r="E7" s="144" t="str">
        <f t="shared" si="1"/>
        <v>Олегович</v>
      </c>
      <c r="F7" s="144" t="str">
        <f t="shared" si="3"/>
        <v>Программист Олегов Олег</v>
      </c>
    </row>
    <row r="8" spans="1:6" ht="15.75" thickBot="1" x14ac:dyDescent="0.3">
      <c r="A8" s="24" t="s">
        <v>55</v>
      </c>
      <c r="B8" s="2" t="s">
        <v>40</v>
      </c>
      <c r="C8" s="174" t="str">
        <f t="shared" si="2"/>
        <v>Дмитриев</v>
      </c>
      <c r="D8" s="171" t="str">
        <f t="shared" si="0"/>
        <v>Дмитрий</v>
      </c>
      <c r="E8" s="144" t="str">
        <f t="shared" si="1"/>
        <v>Дмитреевич</v>
      </c>
      <c r="F8" s="144" t="str">
        <f t="shared" si="3"/>
        <v>Менеджер Дмитриев Дмитрий</v>
      </c>
    </row>
    <row r="9" spans="1:6" ht="15.75" thickBot="1" x14ac:dyDescent="0.3">
      <c r="A9" s="24" t="s">
        <v>56</v>
      </c>
      <c r="B9" s="2" t="s">
        <v>67</v>
      </c>
      <c r="C9" s="174" t="str">
        <f t="shared" si="2"/>
        <v>Александров</v>
      </c>
      <c r="D9" s="171" t="str">
        <f t="shared" si="0"/>
        <v>Александр</v>
      </c>
      <c r="E9" s="144" t="str">
        <f t="shared" si="1"/>
        <v>Александрович</v>
      </c>
      <c r="F9" s="144" t="str">
        <f t="shared" si="3"/>
        <v>Аналитик Александров Александр</v>
      </c>
    </row>
    <row r="10" spans="1:6" ht="15.75" thickBot="1" x14ac:dyDescent="0.3">
      <c r="A10" s="24" t="s">
        <v>57</v>
      </c>
      <c r="B10" s="2" t="s">
        <v>69</v>
      </c>
      <c r="C10" s="174" t="str">
        <f t="shared" si="2"/>
        <v>Костюшко</v>
      </c>
      <c r="D10" s="171" t="str">
        <f t="shared" si="0"/>
        <v>Константин</v>
      </c>
      <c r="E10" s="144" t="str">
        <f t="shared" si="1"/>
        <v>Константинович</v>
      </c>
      <c r="F10" s="144" t="str">
        <f t="shared" si="3"/>
        <v>Программист Костюшко Константин</v>
      </c>
    </row>
    <row r="11" spans="1:6" x14ac:dyDescent="0.25">
      <c r="C11" s="1" t="s">
        <v>180</v>
      </c>
    </row>
    <row r="12" spans="1:6" x14ac:dyDescent="0.25">
      <c r="A12" s="26" t="s">
        <v>90</v>
      </c>
      <c r="D12" s="1" t="s">
        <v>185</v>
      </c>
    </row>
    <row r="13" spans="1:6" x14ac:dyDescent="0.25">
      <c r="A13" s="26" t="s">
        <v>91</v>
      </c>
      <c r="E13" s="1" t="s">
        <v>186</v>
      </c>
    </row>
    <row r="14" spans="1:6" x14ac:dyDescent="0.25">
      <c r="A14" s="26" t="s">
        <v>92</v>
      </c>
      <c r="F14" s="1" t="s">
        <v>70</v>
      </c>
    </row>
    <row r="16" spans="1:6" ht="15.75" thickBot="1" x14ac:dyDescent="0.3">
      <c r="A16" s="175" t="s">
        <v>54</v>
      </c>
      <c r="B16" s="175" t="s">
        <v>59</v>
      </c>
      <c r="C16" s="175" t="s">
        <v>64</v>
      </c>
      <c r="D16" s="175" t="s">
        <v>63</v>
      </c>
      <c r="E16" s="175"/>
      <c r="F16" s="175" t="s">
        <v>187</v>
      </c>
    </row>
    <row r="17" spans="1:6" ht="15.75" thickBot="1" x14ac:dyDescent="0.3">
      <c r="A17" s="170" t="str">
        <f>LEFT(A2,6)</f>
        <v>Иванов</v>
      </c>
      <c r="B17" s="171" t="str">
        <f>RIGHT(A2,9)</f>
        <v xml:space="preserve"> Иванович</v>
      </c>
      <c r="C17" s="176">
        <f>FIND("Иван",A2)</f>
        <v>1</v>
      </c>
      <c r="D17" s="171">
        <f>SEARCH("Иван",A2,3)</f>
        <v>8</v>
      </c>
      <c r="E17" s="171" t="str">
        <f>MID(A2,1,6)</f>
        <v>Иванов</v>
      </c>
      <c r="F17" s="172">
        <f>LEN(A2)</f>
        <v>20</v>
      </c>
    </row>
    <row r="18" spans="1:6" ht="15.75" thickBot="1" x14ac:dyDescent="0.3">
      <c r="A18" s="170" t="str">
        <f t="shared" ref="A18:A25" si="4">LEFT(A3,6)</f>
        <v>Петров</v>
      </c>
      <c r="B18" s="171" t="str">
        <f t="shared" ref="B18:B25" si="5">RIGHT(A3,9)</f>
        <v xml:space="preserve">Петрович </v>
      </c>
      <c r="C18" s="161">
        <f>FIND("Иван",A3)</f>
        <v>8</v>
      </c>
      <c r="D18" s="169">
        <f>SEARCH("иван",A2,3)</f>
        <v>8</v>
      </c>
      <c r="E18" s="18"/>
      <c r="F18" s="1" t="s">
        <v>188</v>
      </c>
    </row>
    <row r="19" spans="1:6" ht="15.75" thickBot="1" x14ac:dyDescent="0.3">
      <c r="A19" s="170" t="str">
        <f t="shared" si="4"/>
        <v>Петров</v>
      </c>
      <c r="B19" s="171" t="str">
        <f t="shared" si="5"/>
        <v xml:space="preserve"> Иванович</v>
      </c>
      <c r="C19" s="162">
        <f>FIND("Иван",A4)</f>
        <v>13</v>
      </c>
      <c r="D19" s="2"/>
      <c r="E19" s="2"/>
    </row>
    <row r="20" spans="1:6" ht="15.75" thickBot="1" x14ac:dyDescent="0.3">
      <c r="A20" s="170" t="str">
        <f t="shared" si="4"/>
        <v>Петров</v>
      </c>
      <c r="B20" s="171" t="str">
        <f t="shared" si="5"/>
        <v xml:space="preserve">Петрович </v>
      </c>
      <c r="C20" s="144">
        <f>FIND("Иван ",A2)</f>
        <v>8</v>
      </c>
      <c r="E20" s="1" t="s">
        <v>65</v>
      </c>
    </row>
    <row r="21" spans="1:6" ht="15.75" thickBot="1" x14ac:dyDescent="0.3">
      <c r="A21" s="170" t="str">
        <f t="shared" si="4"/>
        <v>Васечк</v>
      </c>
      <c r="B21" s="171" t="str">
        <f t="shared" si="5"/>
        <v>асильевич</v>
      </c>
      <c r="C21" s="144" t="e">
        <f>FIND("иван",A3)</f>
        <v>#VALUE!</v>
      </c>
      <c r="D21" s="1" t="s">
        <v>61</v>
      </c>
    </row>
    <row r="22" spans="1:6" ht="15.75" thickBot="1" x14ac:dyDescent="0.3">
      <c r="A22" s="170" t="str">
        <f t="shared" si="4"/>
        <v>Олегов</v>
      </c>
      <c r="B22" s="171" t="str">
        <f t="shared" si="5"/>
        <v xml:space="preserve"> Олегович</v>
      </c>
      <c r="D22" s="129" t="s">
        <v>184</v>
      </c>
    </row>
    <row r="23" spans="1:6" ht="15.75" thickBot="1" x14ac:dyDescent="0.3">
      <c r="A23" s="170" t="str">
        <f t="shared" si="4"/>
        <v>Дмитри</v>
      </c>
      <c r="B23" s="171" t="str">
        <f t="shared" si="5"/>
        <v>митреевич</v>
      </c>
      <c r="C23" s="1" t="s">
        <v>62</v>
      </c>
    </row>
    <row r="24" spans="1:6" ht="15.75" thickBot="1" x14ac:dyDescent="0.3">
      <c r="A24" s="170" t="str">
        <f t="shared" si="4"/>
        <v>Алекса</v>
      </c>
      <c r="B24" s="171" t="str">
        <f t="shared" si="5"/>
        <v>сандрович</v>
      </c>
      <c r="C24" t="s">
        <v>93</v>
      </c>
    </row>
    <row r="25" spans="1:6" ht="15.75" thickBot="1" x14ac:dyDescent="0.3">
      <c r="A25" s="170" t="str">
        <f t="shared" si="4"/>
        <v>Костюш</v>
      </c>
      <c r="B25" s="171" t="str">
        <f t="shared" si="5"/>
        <v>антинович</v>
      </c>
      <c r="C25" s="129" t="s">
        <v>183</v>
      </c>
    </row>
    <row r="26" spans="1:6" x14ac:dyDescent="0.25">
      <c r="A26" s="1" t="s">
        <v>181</v>
      </c>
      <c r="B26" s="1" t="s">
        <v>182</v>
      </c>
    </row>
    <row r="29" spans="1:6" x14ac:dyDescent="0.25">
      <c r="A29" s="145" t="str">
        <f>"Фамилия: "&amp;LEFT(A2,SEARCH(" ",A2)-1)&amp;" Имя: "&amp;MID(A2,SEARCH(" ",A2)+1,SEARCH(" ",A2,SEARCH(" ",A2)+1)-SEARCH(" ",A2)-1)&amp;" Отчество: "&amp;MID(A2,SEARCH(" ",A2,SEARCH(" ",A2)+1)+1,LEN(A2)-SEARCH(" ",A2,SEARCH(" ",A2)+1))</f>
        <v>Фамилия: Иванов Имя: Иван Отчество: Иванович</v>
      </c>
    </row>
    <row r="30" spans="1:6" x14ac:dyDescent="0.25">
      <c r="A30" s="1" t="s">
        <v>72</v>
      </c>
    </row>
    <row r="32" spans="1:6" x14ac:dyDescent="0.25">
      <c r="A32" t="s">
        <v>118</v>
      </c>
      <c r="B32" s="144" t="str">
        <f>MID(A32,SEARCH("example",A32),12)</f>
        <v>example1.com</v>
      </c>
      <c r="C32" s="1" t="s">
        <v>189</v>
      </c>
    </row>
    <row r="33" spans="1:3" x14ac:dyDescent="0.25">
      <c r="A33" t="s">
        <v>119</v>
      </c>
      <c r="B33" s="144" t="str">
        <f>MID(A33,SEARCH("www.",A33)+4,SEARCH("/",A33,SEARCH("www.",A33)+4)-(SEARCH("www.",A33)+4))</f>
        <v>example2.com</v>
      </c>
      <c r="C33" s="1" t="s">
        <v>121</v>
      </c>
    </row>
    <row r="34" spans="1:3" x14ac:dyDescent="0.25">
      <c r="A34" t="s">
        <v>120</v>
      </c>
      <c r="B34" s="144" t="str">
        <f>MID(A34, SEARCH("://",A34)+7, SEARCH("/",A34,SEARCH("://",A34)+7) - (SEARCH("://",A34)+7))</f>
        <v>example3.com</v>
      </c>
      <c r="C34" s="1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EBA6-CF3C-4343-BAA9-EC01769606FA}">
  <dimension ref="A1:H31"/>
  <sheetViews>
    <sheetView zoomScale="87" zoomScaleNormal="87" workbookViewId="0">
      <selection activeCell="H2" sqref="H2"/>
    </sheetView>
  </sheetViews>
  <sheetFormatPr defaultRowHeight="15" x14ac:dyDescent="0.25"/>
  <cols>
    <col min="1" max="1" width="35.85546875" customWidth="1"/>
    <col min="2" max="2" width="22.140625" customWidth="1"/>
    <col min="3" max="3" width="28" customWidth="1"/>
    <col min="4" max="4" width="18.7109375" customWidth="1"/>
    <col min="6" max="6" width="25.7109375" customWidth="1"/>
    <col min="7" max="7" width="26.42578125" customWidth="1"/>
    <col min="8" max="8" width="17.85546875" customWidth="1"/>
  </cols>
  <sheetData>
    <row r="1" spans="1:8" ht="18.75" customHeight="1" thickBot="1" x14ac:dyDescent="0.3">
      <c r="A1" s="21" t="s">
        <v>58</v>
      </c>
      <c r="B1" s="21" t="s">
        <v>73</v>
      </c>
      <c r="C1" s="168"/>
    </row>
    <row r="2" spans="1:8" ht="18.75" customHeight="1" thickBot="1" x14ac:dyDescent="0.3">
      <c r="A2" s="22" t="s">
        <v>50</v>
      </c>
      <c r="B2" s="24" t="s">
        <v>86</v>
      </c>
      <c r="C2" s="170" t="str">
        <f>IF(ISNUMBER(SEARCH("менеджер",B2)),"Да","Нет")</f>
        <v>Да</v>
      </c>
      <c r="D2" s="171" t="str">
        <f>SUBSTITUTE(B2,"Менеджер","Руководитель")</f>
        <v xml:space="preserve"> Руководитель </v>
      </c>
      <c r="E2" s="171">
        <f>LEN(A2)</f>
        <v>20</v>
      </c>
      <c r="F2" s="171" t="str">
        <f>LOWER(A2)</f>
        <v>иванов иван иванович</v>
      </c>
      <c r="G2" s="171" t="str">
        <f>PROPER(F2)</f>
        <v>Иванов Иван Иванович</v>
      </c>
      <c r="H2" s="172" t="str">
        <f>TRIM(B2)</f>
        <v>Менеджер</v>
      </c>
    </row>
    <row r="3" spans="1:8" ht="18.75" customHeight="1" thickBot="1" x14ac:dyDescent="0.3">
      <c r="A3" s="22" t="s">
        <v>66</v>
      </c>
      <c r="B3" s="22" t="s">
        <v>67</v>
      </c>
      <c r="C3" s="170" t="str">
        <f t="shared" ref="C3:C5" si="0">IF(ISNUMBER(SEARCH("менеджер",B3)),"Да","Нет")</f>
        <v>Нет</v>
      </c>
      <c r="D3" s="171" t="str">
        <f t="shared" ref="D3:D5" si="1">SUBSTITUTE(B3,"Менеджер","Руководитель")</f>
        <v>Аналитик</v>
      </c>
      <c r="E3" s="169">
        <f t="shared" ref="E3:E5" si="2">LEN(A3)</f>
        <v>22</v>
      </c>
      <c r="F3" s="171" t="str">
        <f t="shared" ref="F3:F5" si="3">LOWER(A3)</f>
        <v>петрова анна сергеевна</v>
      </c>
      <c r="G3" s="171" t="str">
        <f t="shared" ref="G3:G5" si="4">PROPER(F3)</f>
        <v>Петрова Анна Сергеевна</v>
      </c>
      <c r="H3" s="172" t="str">
        <f t="shared" ref="H3:H5" si="5">TRIM(B3)</f>
        <v>Аналитик</v>
      </c>
    </row>
    <row r="4" spans="1:8" ht="18.75" customHeight="1" thickBot="1" x14ac:dyDescent="0.3">
      <c r="A4" s="22" t="s">
        <v>68</v>
      </c>
      <c r="B4" s="22" t="s">
        <v>87</v>
      </c>
      <c r="C4" s="170" t="str">
        <f t="shared" si="0"/>
        <v>Нет</v>
      </c>
      <c r="D4" s="171" t="str">
        <f t="shared" si="1"/>
        <v xml:space="preserve"> Программист</v>
      </c>
      <c r="E4" s="144">
        <f t="shared" si="2"/>
        <v>23</v>
      </c>
      <c r="F4" s="171" t="str">
        <f t="shared" si="3"/>
        <v>сидоров сергей петрович</v>
      </c>
      <c r="G4" s="171" t="str">
        <f t="shared" si="4"/>
        <v>Сидоров Сергей Петрович</v>
      </c>
      <c r="H4" s="172" t="str">
        <f t="shared" si="5"/>
        <v>Программист</v>
      </c>
    </row>
    <row r="5" spans="1:8" ht="18.75" customHeight="1" thickBot="1" x14ac:dyDescent="0.3">
      <c r="A5" s="22" t="s">
        <v>60</v>
      </c>
      <c r="B5" s="22" t="s">
        <v>74</v>
      </c>
      <c r="C5" s="170" t="str">
        <f t="shared" si="0"/>
        <v>Да</v>
      </c>
      <c r="D5" s="171" t="str">
        <f t="shared" si="1"/>
        <v>менеджер</v>
      </c>
      <c r="E5" s="144">
        <f t="shared" si="2"/>
        <v>20</v>
      </c>
      <c r="F5" s="171" t="str">
        <f t="shared" si="3"/>
        <v>петров петр иванович</v>
      </c>
      <c r="G5" s="171" t="str">
        <f t="shared" si="4"/>
        <v>Петров Петр Иванович</v>
      </c>
      <c r="H5" s="172" t="str">
        <f t="shared" si="5"/>
        <v>менеджер</v>
      </c>
    </row>
    <row r="6" spans="1:8" ht="18.75" customHeight="1" x14ac:dyDescent="0.25">
      <c r="B6">
        <v>1</v>
      </c>
      <c r="C6" s="1" t="s">
        <v>75</v>
      </c>
    </row>
    <row r="7" spans="1:8" ht="18.75" customHeight="1" x14ac:dyDescent="0.25">
      <c r="C7">
        <v>2</v>
      </c>
      <c r="D7" s="1" t="s">
        <v>76</v>
      </c>
    </row>
    <row r="8" spans="1:8" ht="18.75" customHeight="1" x14ac:dyDescent="0.25">
      <c r="D8">
        <v>3</v>
      </c>
      <c r="E8" s="1" t="s">
        <v>79</v>
      </c>
    </row>
    <row r="9" spans="1:8" ht="18.75" customHeight="1" x14ac:dyDescent="0.3">
      <c r="A9" s="52" t="s">
        <v>78</v>
      </c>
      <c r="E9">
        <v>4</v>
      </c>
      <c r="F9" s="1" t="s">
        <v>81</v>
      </c>
    </row>
    <row r="10" spans="1:8" ht="18.75" customHeight="1" x14ac:dyDescent="0.25">
      <c r="A10" s="25" t="s">
        <v>77</v>
      </c>
      <c r="F10">
        <v>5</v>
      </c>
      <c r="G10" s="1" t="s">
        <v>84</v>
      </c>
    </row>
    <row r="11" spans="1:8" ht="18.75" customHeight="1" x14ac:dyDescent="0.25">
      <c r="A11" s="25" t="s">
        <v>89</v>
      </c>
      <c r="G11">
        <v>6</v>
      </c>
      <c r="H11" s="1" t="s">
        <v>88</v>
      </c>
    </row>
    <row r="12" spans="1:8" ht="18.75" customHeight="1" x14ac:dyDescent="0.25">
      <c r="A12" s="25" t="s">
        <v>80</v>
      </c>
    </row>
    <row r="13" spans="1:8" ht="18.75" customHeight="1" x14ac:dyDescent="0.25">
      <c r="A13" s="25" t="s">
        <v>82</v>
      </c>
    </row>
    <row r="14" spans="1:8" ht="18.75" customHeight="1" x14ac:dyDescent="0.25">
      <c r="A14" s="25" t="s">
        <v>83</v>
      </c>
    </row>
    <row r="15" spans="1:8" ht="18.75" customHeight="1" x14ac:dyDescent="0.25">
      <c r="A15" s="25" t="s">
        <v>85</v>
      </c>
    </row>
    <row r="16" spans="1:8" ht="18.75" customHeight="1" x14ac:dyDescent="0.25"/>
    <row r="17" spans="1:3" ht="18.75" customHeight="1" x14ac:dyDescent="0.25">
      <c r="A17" s="38" t="s">
        <v>137</v>
      </c>
      <c r="B17" s="39" t="s">
        <v>138</v>
      </c>
      <c r="C17" s="40" t="s">
        <v>1</v>
      </c>
    </row>
    <row r="18" spans="1:3" ht="31.5" x14ac:dyDescent="0.25">
      <c r="A18" s="41" t="s">
        <v>139</v>
      </c>
      <c r="B18" s="42" t="s">
        <v>140</v>
      </c>
      <c r="C18" s="43" t="s">
        <v>141</v>
      </c>
    </row>
    <row r="19" spans="1:3" ht="31.5" x14ac:dyDescent="0.25">
      <c r="A19" s="44" t="s">
        <v>142</v>
      </c>
      <c r="B19" s="45" t="s">
        <v>142</v>
      </c>
      <c r="C19" s="46" t="s">
        <v>143</v>
      </c>
    </row>
    <row r="20" spans="1:3" ht="31.5" x14ac:dyDescent="0.25">
      <c r="A20" s="41" t="s">
        <v>144</v>
      </c>
      <c r="B20" s="42" t="s">
        <v>145</v>
      </c>
      <c r="C20" s="43" t="s">
        <v>146</v>
      </c>
    </row>
    <row r="21" spans="1:3" ht="31.5" x14ac:dyDescent="0.25">
      <c r="A21" s="44" t="s">
        <v>147</v>
      </c>
      <c r="B21" s="45" t="s">
        <v>148</v>
      </c>
      <c r="C21" s="46" t="s">
        <v>149</v>
      </c>
    </row>
    <row r="22" spans="1:3" ht="31.5" x14ac:dyDescent="0.25">
      <c r="A22" s="41" t="s">
        <v>150</v>
      </c>
      <c r="B22" s="42" t="s">
        <v>151</v>
      </c>
      <c r="C22" s="43" t="s">
        <v>152</v>
      </c>
    </row>
    <row r="23" spans="1:3" ht="31.5" x14ac:dyDescent="0.25">
      <c r="A23" s="44" t="s">
        <v>153</v>
      </c>
      <c r="B23" s="45" t="s">
        <v>154</v>
      </c>
      <c r="C23" s="46" t="s">
        <v>155</v>
      </c>
    </row>
    <row r="24" spans="1:3" ht="31.5" x14ac:dyDescent="0.25">
      <c r="A24" s="41" t="s">
        <v>156</v>
      </c>
      <c r="B24" s="42" t="s">
        <v>157</v>
      </c>
      <c r="C24" s="43" t="s">
        <v>158</v>
      </c>
    </row>
    <row r="25" spans="1:3" ht="15.75" x14ac:dyDescent="0.25">
      <c r="A25" s="44" t="s">
        <v>159</v>
      </c>
      <c r="B25" s="45" t="s">
        <v>160</v>
      </c>
      <c r="C25" s="46" t="s">
        <v>161</v>
      </c>
    </row>
    <row r="26" spans="1:3" ht="31.5" x14ac:dyDescent="0.25">
      <c r="A26" s="41" t="s">
        <v>162</v>
      </c>
      <c r="B26" s="42" t="s">
        <v>163</v>
      </c>
      <c r="C26" s="43" t="s">
        <v>164</v>
      </c>
    </row>
    <row r="27" spans="1:3" ht="15.75" x14ac:dyDescent="0.25">
      <c r="A27" s="44" t="s">
        <v>165</v>
      </c>
      <c r="B27" s="45" t="s">
        <v>166</v>
      </c>
      <c r="C27" s="46" t="s">
        <v>167</v>
      </c>
    </row>
    <row r="28" spans="1:3" ht="31.5" x14ac:dyDescent="0.25">
      <c r="A28" s="41" t="s">
        <v>168</v>
      </c>
      <c r="B28" s="42" t="s">
        <v>169</v>
      </c>
      <c r="C28" s="43" t="s">
        <v>170</v>
      </c>
    </row>
    <row r="29" spans="1:3" ht="31.5" x14ac:dyDescent="0.25">
      <c r="A29" s="44" t="s">
        <v>171</v>
      </c>
      <c r="B29" s="45" t="s">
        <v>172</v>
      </c>
      <c r="C29" s="46" t="s">
        <v>173</v>
      </c>
    </row>
    <row r="30" spans="1:3" ht="47.25" x14ac:dyDescent="0.25">
      <c r="A30" s="41" t="s">
        <v>174</v>
      </c>
      <c r="B30" s="42" t="s">
        <v>175</v>
      </c>
      <c r="C30" s="43" t="s">
        <v>176</v>
      </c>
    </row>
    <row r="31" spans="1:3" ht="15.75" x14ac:dyDescent="0.25">
      <c r="A31" s="44" t="s">
        <v>177</v>
      </c>
      <c r="B31" s="45" t="s">
        <v>178</v>
      </c>
      <c r="C31" s="46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8A57-06FD-4F56-A2DD-F37DAE588D75}">
  <dimension ref="A1:D14"/>
  <sheetViews>
    <sheetView workbookViewId="0">
      <selection activeCell="B11" sqref="B11"/>
    </sheetView>
  </sheetViews>
  <sheetFormatPr defaultRowHeight="15" x14ac:dyDescent="0.25"/>
  <cols>
    <col min="1" max="1" width="19.7109375" style="23" customWidth="1"/>
    <col min="2" max="2" width="22.140625" style="20" customWidth="1"/>
    <col min="3" max="3" width="75.7109375" style="20" customWidth="1"/>
  </cols>
  <sheetData>
    <row r="1" spans="1:4" x14ac:dyDescent="0.25">
      <c r="A1" s="22" t="s">
        <v>103</v>
      </c>
      <c r="B1" s="27" t="s">
        <v>104</v>
      </c>
      <c r="C1" s="27" t="s">
        <v>1</v>
      </c>
    </row>
    <row r="2" spans="1:4" ht="30" customHeight="1" x14ac:dyDescent="0.25">
      <c r="A2" s="28">
        <v>1234.567</v>
      </c>
      <c r="B2" s="167" t="str">
        <f>TEXT(A2,"# ##0,00 ₽")</f>
        <v>1 234,57 ₽</v>
      </c>
      <c r="C2" s="33" t="s">
        <v>105</v>
      </c>
      <c r="D2" s="32" t="s">
        <v>107</v>
      </c>
    </row>
    <row r="3" spans="1:4" x14ac:dyDescent="0.25">
      <c r="A3" s="29">
        <f ca="1">TODAY()</f>
        <v>45917</v>
      </c>
      <c r="B3" s="167" t="str">
        <f ca="1">TEXT(A3,"ДД.ММ.ГГ")</f>
        <v>17.09.25</v>
      </c>
      <c r="C3" s="2" t="s">
        <v>94</v>
      </c>
      <c r="D3" s="32" t="s">
        <v>108</v>
      </c>
    </row>
    <row r="4" spans="1:4" x14ac:dyDescent="0.25">
      <c r="A4" s="30">
        <f ca="1">NOW()</f>
        <v>45917.879772337961</v>
      </c>
      <c r="B4" s="167" t="str">
        <f ca="1">TEXT(A4,"ДДДД")</f>
        <v>среда</v>
      </c>
      <c r="C4" s="2" t="s">
        <v>95</v>
      </c>
      <c r="D4" s="32" t="s">
        <v>109</v>
      </c>
    </row>
    <row r="5" spans="1:4" x14ac:dyDescent="0.25">
      <c r="A5" s="30">
        <f ca="1">NOW()</f>
        <v>45917.879772337961</v>
      </c>
      <c r="B5" s="167" t="str">
        <f ca="1">TEXT(A5,"ЧЧ:ММ")</f>
        <v>21:06</v>
      </c>
      <c r="C5" s="2" t="s">
        <v>96</v>
      </c>
      <c r="D5" s="32" t="s">
        <v>110</v>
      </c>
    </row>
    <row r="6" spans="1:4" x14ac:dyDescent="0.25">
      <c r="A6" s="28">
        <v>0.28499999999999998</v>
      </c>
      <c r="B6" s="167" t="str">
        <f>TEXT(A6,"0,0 %")</f>
        <v>28,5 %</v>
      </c>
      <c r="C6" s="2" t="s">
        <v>97</v>
      </c>
      <c r="D6" s="32" t="s">
        <v>111</v>
      </c>
    </row>
    <row r="7" spans="1:4" x14ac:dyDescent="0.25">
      <c r="A7" s="31">
        <v>12200000</v>
      </c>
      <c r="B7" s="167" t="str">
        <f>TEXT(A7,"0,00E+00")</f>
        <v>1,22E+07</v>
      </c>
      <c r="C7" s="2" t="s">
        <v>99</v>
      </c>
      <c r="D7" s="32" t="s">
        <v>112</v>
      </c>
    </row>
    <row r="8" spans="1:4" x14ac:dyDescent="0.25">
      <c r="A8" s="31">
        <v>1234567898</v>
      </c>
      <c r="B8" s="167" t="str">
        <f>TEXT(A8,"[&lt;=9999999]###-##-##;(###) ###-##-##")</f>
        <v>(123) 456-78-98</v>
      </c>
      <c r="C8" s="2" t="s">
        <v>100</v>
      </c>
      <c r="D8" s="32" t="s">
        <v>113</v>
      </c>
    </row>
    <row r="9" spans="1:4" x14ac:dyDescent="0.25">
      <c r="A9" s="31">
        <v>1234</v>
      </c>
      <c r="B9" s="167" t="str">
        <f>TEXT(A9,"0000000")</f>
        <v>0001234</v>
      </c>
      <c r="C9" s="2" t="s">
        <v>101</v>
      </c>
      <c r="D9" s="32" t="s">
        <v>114</v>
      </c>
    </row>
    <row r="10" spans="1:4" x14ac:dyDescent="0.25">
      <c r="A10" s="31">
        <v>123456</v>
      </c>
      <c r="B10" s="167" t="str">
        <f>TEXT(A10,"##0° 00' 00''")</f>
        <v>12° 34' 56''</v>
      </c>
      <c r="C10" s="2" t="s">
        <v>102</v>
      </c>
      <c r="D10" s="32" t="s">
        <v>115</v>
      </c>
    </row>
    <row r="11" spans="1:4" x14ac:dyDescent="0.25">
      <c r="A11" s="28">
        <v>4.34</v>
      </c>
      <c r="B11" s="167" t="str">
        <f>TEXT(A11,"?/?")</f>
        <v>13/3</v>
      </c>
      <c r="C11" s="2" t="s">
        <v>98</v>
      </c>
      <c r="D11" s="32" t="s">
        <v>117</v>
      </c>
    </row>
    <row r="12" spans="1:4" ht="27" customHeight="1" x14ac:dyDescent="0.25">
      <c r="A12" s="28">
        <v>0.34</v>
      </c>
      <c r="B12" s="167" t="str">
        <f>TRIM(TEXT(A12,"?/?"))</f>
        <v>1/3</v>
      </c>
      <c r="C12" s="33" t="s">
        <v>106</v>
      </c>
      <c r="D12" s="32" t="s">
        <v>116</v>
      </c>
    </row>
    <row r="14" spans="1:4" x14ac:dyDescent="0.25">
      <c r="A14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E3CB-4971-43D0-B1D9-9801D1020E4D}">
  <dimension ref="A1:H27"/>
  <sheetViews>
    <sheetView workbookViewId="0">
      <selection activeCell="H28" sqref="H28"/>
    </sheetView>
  </sheetViews>
  <sheetFormatPr defaultRowHeight="15" x14ac:dyDescent="0.25"/>
  <cols>
    <col min="1" max="1" width="23.28515625" style="53" customWidth="1"/>
    <col min="2" max="4" width="9.140625" style="53"/>
    <col min="5" max="5" width="10.7109375" style="53" customWidth="1"/>
    <col min="6" max="7" width="9.140625" style="53"/>
    <col min="8" max="8" width="23.140625" style="53" customWidth="1"/>
    <col min="9" max="16384" width="9.140625" style="53"/>
  </cols>
  <sheetData>
    <row r="1" spans="1:8" ht="15.75" x14ac:dyDescent="0.25">
      <c r="A1" s="70" t="s">
        <v>30</v>
      </c>
      <c r="B1" s="70" t="s">
        <v>231</v>
      </c>
      <c r="C1" s="70" t="s">
        <v>230</v>
      </c>
      <c r="D1" s="70" t="s">
        <v>229</v>
      </c>
      <c r="E1" s="68" t="s">
        <v>228</v>
      </c>
      <c r="F1" s="68" t="s">
        <v>227</v>
      </c>
      <c r="G1" s="69" t="s">
        <v>226</v>
      </c>
      <c r="H1" s="68"/>
    </row>
    <row r="2" spans="1:8" ht="15.75" x14ac:dyDescent="0.25">
      <c r="A2" s="67" t="s">
        <v>32</v>
      </c>
      <c r="B2" s="67">
        <v>5</v>
      </c>
      <c r="C2" s="67">
        <v>4</v>
      </c>
      <c r="D2" s="166" t="b">
        <f>AND(B2&gt;=3, C2&gt;=4)</f>
        <v>1</v>
      </c>
      <c r="E2" s="166" t="b">
        <f t="shared" ref="E2:E7" si="0">OR(B2&gt;=5, C2=5)</f>
        <v>1</v>
      </c>
      <c r="F2" s="166" t="b">
        <f t="shared" ref="F2:F7" si="1">NOT(B2&lt;3)</f>
        <v>1</v>
      </c>
      <c r="G2" s="166" t="str">
        <f>IF(C2&gt;=4, "Сдал", "Не сдал")</f>
        <v>Сдал</v>
      </c>
      <c r="H2" s="166" t="str">
        <f>IF(C2&gt;=5, "Отлично", IF(C2&gt;=4, "Хорошо", IF(C2&gt;=3, "Удовлетворительно", IF(C2&gt;=2, "Посредственно", "Неудовлетворительно"))))</f>
        <v>Хорошо</v>
      </c>
    </row>
    <row r="3" spans="1:8" ht="15.75" x14ac:dyDescent="0.25">
      <c r="A3" s="66" t="s">
        <v>33</v>
      </c>
      <c r="B3" s="66">
        <v>2</v>
      </c>
      <c r="C3" s="66">
        <v>5</v>
      </c>
      <c r="D3" s="166" t="b">
        <f t="shared" ref="D2:D7" si="2">AND(B3&gt;=3, C3&gt;=4)</f>
        <v>0</v>
      </c>
      <c r="E3" s="166" t="b">
        <f t="shared" si="0"/>
        <v>1</v>
      </c>
      <c r="F3" s="166" t="b">
        <f t="shared" si="1"/>
        <v>0</v>
      </c>
      <c r="G3" s="166" t="str">
        <f t="shared" ref="G3:G7" si="3">IF(C3&gt;=4, "Сдал", "Не сдал")</f>
        <v>Сдал</v>
      </c>
      <c r="H3" s="166" t="str">
        <f t="shared" ref="H3:H7" si="4">IF(C3&gt;=5, "Отлично", IF(C3&gt;=4, "Хорошо", IF(C3&gt;=3, "Удовлетворительно", IF(C3&gt;=2, "Посредственно", "Неудовлетворительно"))))</f>
        <v>Отлично</v>
      </c>
    </row>
    <row r="4" spans="1:8" ht="15.75" x14ac:dyDescent="0.25">
      <c r="A4" s="67" t="s">
        <v>34</v>
      </c>
      <c r="B4" s="67">
        <v>8</v>
      </c>
      <c r="C4" s="67">
        <v>3</v>
      </c>
      <c r="D4" s="166" t="b">
        <f t="shared" si="2"/>
        <v>0</v>
      </c>
      <c r="E4" s="166" t="b">
        <f t="shared" si="0"/>
        <v>1</v>
      </c>
      <c r="F4" s="166" t="b">
        <f t="shared" si="1"/>
        <v>1</v>
      </c>
      <c r="G4" s="166" t="str">
        <f t="shared" si="3"/>
        <v>Не сдал</v>
      </c>
      <c r="H4" s="166" t="str">
        <f t="shared" si="4"/>
        <v>Удовлетворительно</v>
      </c>
    </row>
    <row r="5" spans="1:8" ht="15.75" x14ac:dyDescent="0.25">
      <c r="A5" s="66" t="s">
        <v>36</v>
      </c>
      <c r="B5" s="66">
        <v>3</v>
      </c>
      <c r="C5" s="66">
        <v>4</v>
      </c>
      <c r="D5" s="166" t="b">
        <f t="shared" si="2"/>
        <v>1</v>
      </c>
      <c r="E5" s="166" t="b">
        <f t="shared" si="0"/>
        <v>0</v>
      </c>
      <c r="F5" s="166" t="b">
        <f t="shared" si="1"/>
        <v>1</v>
      </c>
      <c r="G5" s="166" t="str">
        <f t="shared" si="3"/>
        <v>Сдал</v>
      </c>
      <c r="H5" s="166" t="str">
        <f t="shared" si="4"/>
        <v>Хорошо</v>
      </c>
    </row>
    <row r="6" spans="1:8" ht="15.75" x14ac:dyDescent="0.25">
      <c r="A6" s="67" t="s">
        <v>37</v>
      </c>
      <c r="B6" s="67">
        <v>1</v>
      </c>
      <c r="C6" s="65">
        <v>2</v>
      </c>
      <c r="D6" s="166" t="b">
        <f t="shared" si="2"/>
        <v>0</v>
      </c>
      <c r="E6" s="166" t="b">
        <f t="shared" si="0"/>
        <v>0</v>
      </c>
      <c r="F6" s="166" t="b">
        <f t="shared" si="1"/>
        <v>0</v>
      </c>
      <c r="G6" s="166" t="str">
        <f t="shared" si="3"/>
        <v>Не сдал</v>
      </c>
      <c r="H6" s="166" t="str">
        <f t="shared" si="4"/>
        <v>Посредственно</v>
      </c>
    </row>
    <row r="7" spans="1:8" ht="15.75" x14ac:dyDescent="0.25">
      <c r="A7" s="66" t="s">
        <v>204</v>
      </c>
      <c r="B7" s="66">
        <v>1</v>
      </c>
      <c r="C7" s="65">
        <v>1</v>
      </c>
      <c r="D7" s="166" t="b">
        <f t="shared" si="2"/>
        <v>0</v>
      </c>
      <c r="E7" s="166" t="b">
        <f t="shared" si="0"/>
        <v>0</v>
      </c>
      <c r="F7" s="166" t="b">
        <f t="shared" si="1"/>
        <v>0</v>
      </c>
      <c r="G7" s="166" t="str">
        <f t="shared" si="3"/>
        <v>Не сдал</v>
      </c>
      <c r="H7" s="166" t="str">
        <f t="shared" si="4"/>
        <v>Неудовлетворительно</v>
      </c>
    </row>
    <row r="11" spans="1:8" x14ac:dyDescent="0.25">
      <c r="A11" s="64" t="s">
        <v>225</v>
      </c>
    </row>
    <row r="12" spans="1:8" x14ac:dyDescent="0.25">
      <c r="A12" s="53" t="s">
        <v>224</v>
      </c>
      <c r="B12" s="63" t="s">
        <v>223</v>
      </c>
    </row>
    <row r="13" spans="1:8" x14ac:dyDescent="0.25">
      <c r="A13" s="53" t="s">
        <v>222</v>
      </c>
      <c r="B13" s="63" t="s">
        <v>221</v>
      </c>
    </row>
    <row r="14" spans="1:8" x14ac:dyDescent="0.25">
      <c r="A14" s="53" t="s">
        <v>220</v>
      </c>
      <c r="B14" s="63" t="s">
        <v>219</v>
      </c>
    </row>
    <row r="15" spans="1:8" x14ac:dyDescent="0.25">
      <c r="A15" s="53" t="s">
        <v>218</v>
      </c>
      <c r="B15" s="63" t="s">
        <v>217</v>
      </c>
    </row>
    <row r="16" spans="1:8" x14ac:dyDescent="0.25">
      <c r="A16" s="53" t="s">
        <v>216</v>
      </c>
      <c r="B16" s="63" t="s">
        <v>215</v>
      </c>
    </row>
    <row r="20" spans="1:8" x14ac:dyDescent="0.25">
      <c r="A20" s="62" t="s">
        <v>214</v>
      </c>
    </row>
    <row r="21" spans="1:8" ht="60.75" thickBot="1" x14ac:dyDescent="0.25">
      <c r="A21" s="61" t="s">
        <v>30</v>
      </c>
      <c r="B21" s="61" t="s">
        <v>213</v>
      </c>
      <c r="C21" s="61" t="s">
        <v>212</v>
      </c>
      <c r="D21" s="61" t="s">
        <v>211</v>
      </c>
      <c r="E21" s="60" t="s">
        <v>210</v>
      </c>
      <c r="H21" s="26" t="s">
        <v>209</v>
      </c>
    </row>
    <row r="22" spans="1:8" ht="18" customHeight="1" thickBot="1" x14ac:dyDescent="0.3">
      <c r="A22" s="54" t="s">
        <v>32</v>
      </c>
      <c r="B22" s="54">
        <v>5</v>
      </c>
      <c r="C22" s="54">
        <v>4</v>
      </c>
      <c r="D22" s="59">
        <v>50000</v>
      </c>
      <c r="E22" s="163">
        <f>IF(AND(B22&gt;3, C22&gt;=4), D22*0.1, 0)</f>
        <v>5000</v>
      </c>
      <c r="H22" s="58" t="s">
        <v>208</v>
      </c>
    </row>
    <row r="23" spans="1:8" x14ac:dyDescent="0.25">
      <c r="A23" s="55" t="s">
        <v>33</v>
      </c>
      <c r="B23" s="55">
        <v>2</v>
      </c>
      <c r="C23" s="55">
        <v>5</v>
      </c>
      <c r="D23" s="55">
        <v>60000</v>
      </c>
      <c r="E23" s="164">
        <f t="shared" ref="E22:E27" si="5">IF(AND(B23&gt;3, C23&gt;=4), D23*0.1, 0)</f>
        <v>0</v>
      </c>
      <c r="H23" s="23"/>
    </row>
    <row r="24" spans="1:8" ht="15.75" x14ac:dyDescent="0.25">
      <c r="A24" s="54" t="s">
        <v>34</v>
      </c>
      <c r="B24" s="54">
        <v>4</v>
      </c>
      <c r="C24" s="54">
        <v>3</v>
      </c>
      <c r="D24" s="54">
        <v>55000</v>
      </c>
      <c r="E24" s="165">
        <f t="shared" si="5"/>
        <v>0</v>
      </c>
      <c r="H24" s="57" t="s">
        <v>207</v>
      </c>
    </row>
    <row r="25" spans="1:8" x14ac:dyDescent="0.25">
      <c r="A25" s="55" t="s">
        <v>36</v>
      </c>
      <c r="B25" s="55">
        <v>6</v>
      </c>
      <c r="C25" s="55">
        <v>5</v>
      </c>
      <c r="D25" s="55">
        <v>70000</v>
      </c>
      <c r="E25" s="165">
        <f t="shared" si="5"/>
        <v>7000</v>
      </c>
      <c r="H25" s="23" t="s">
        <v>206</v>
      </c>
    </row>
    <row r="26" spans="1:8" x14ac:dyDescent="0.25">
      <c r="A26" s="54" t="s">
        <v>37</v>
      </c>
      <c r="B26" s="54">
        <v>3</v>
      </c>
      <c r="C26" s="54">
        <v>4</v>
      </c>
      <c r="D26" s="54">
        <v>52000</v>
      </c>
      <c r="E26" s="165">
        <f t="shared" si="5"/>
        <v>0</v>
      </c>
      <c r="H26" s="1" t="s">
        <v>205</v>
      </c>
    </row>
    <row r="27" spans="1:8" x14ac:dyDescent="0.25">
      <c r="A27" s="56" t="s">
        <v>204</v>
      </c>
      <c r="B27" s="55">
        <v>1</v>
      </c>
      <c r="C27" s="55">
        <v>1</v>
      </c>
      <c r="D27" s="55">
        <v>30000</v>
      </c>
      <c r="E27" s="165">
        <f t="shared" si="5"/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C5B7-94CC-4719-9E91-23B60A067D73}">
  <dimension ref="A1:F27"/>
  <sheetViews>
    <sheetView workbookViewId="0">
      <selection activeCell="C22" sqref="C22"/>
    </sheetView>
  </sheetViews>
  <sheetFormatPr defaultRowHeight="15" x14ac:dyDescent="0.25"/>
  <cols>
    <col min="1" max="4" width="16.140625" customWidth="1"/>
  </cols>
  <sheetData>
    <row r="1" spans="1:6" x14ac:dyDescent="0.25">
      <c r="A1" s="75" t="s">
        <v>252</v>
      </c>
    </row>
    <row r="2" spans="1:6" ht="16.5" thickBot="1" x14ac:dyDescent="0.3">
      <c r="A2" s="72" t="s">
        <v>242</v>
      </c>
      <c r="B2" s="72" t="s">
        <v>241</v>
      </c>
      <c r="C2" s="72" t="s">
        <v>251</v>
      </c>
      <c r="D2" s="78" t="s">
        <v>250</v>
      </c>
    </row>
    <row r="3" spans="1:6" ht="16.5" thickBot="1" x14ac:dyDescent="0.3">
      <c r="A3" s="72" t="s">
        <v>238</v>
      </c>
      <c r="B3" s="72">
        <v>1200</v>
      </c>
      <c r="C3" s="73">
        <v>15</v>
      </c>
      <c r="D3" s="160" t="str">
        <f>IF(AND(B3&gt;1000,C3&gt;10),"Премиум",IF(OR(B3&gt;500,C3&gt;20),"Стандарт","Эконом"))</f>
        <v>Премиум</v>
      </c>
    </row>
    <row r="4" spans="1:6" ht="15.75" x14ac:dyDescent="0.25">
      <c r="A4" s="71" t="s">
        <v>236</v>
      </c>
      <c r="B4" s="71">
        <v>600</v>
      </c>
      <c r="C4" s="71">
        <v>5</v>
      </c>
      <c r="D4" s="161" t="str">
        <f t="shared" ref="D3:D8" si="0">IF(AND(B4&gt;1000,C4&gt;10),"Премиум",IF(OR(B4&gt;500,C4&gt;20),"Стандарт","Эконом"))</f>
        <v>Стандарт</v>
      </c>
    </row>
    <row r="5" spans="1:6" ht="15.75" x14ac:dyDescent="0.25">
      <c r="A5" s="72" t="s">
        <v>235</v>
      </c>
      <c r="B5" s="72">
        <v>1500</v>
      </c>
      <c r="C5" s="72">
        <v>25</v>
      </c>
      <c r="D5" s="162" t="str">
        <f t="shared" si="0"/>
        <v>Премиум</v>
      </c>
      <c r="F5" s="26" t="s">
        <v>209</v>
      </c>
    </row>
    <row r="6" spans="1:6" ht="15.75" x14ac:dyDescent="0.25">
      <c r="A6" s="71" t="s">
        <v>234</v>
      </c>
      <c r="B6" s="71">
        <v>800</v>
      </c>
      <c r="C6" s="71">
        <v>18</v>
      </c>
      <c r="D6" s="162" t="str">
        <f t="shared" si="0"/>
        <v>Стандарт</v>
      </c>
    </row>
    <row r="7" spans="1:6" ht="15.75" x14ac:dyDescent="0.25">
      <c r="A7" s="72" t="s">
        <v>233</v>
      </c>
      <c r="B7" s="72">
        <v>400</v>
      </c>
      <c r="C7" s="72">
        <v>30</v>
      </c>
      <c r="D7" s="162" t="str">
        <f t="shared" si="0"/>
        <v>Стандарт</v>
      </c>
    </row>
    <row r="8" spans="1:6" ht="15.75" x14ac:dyDescent="0.25">
      <c r="A8" s="71" t="s">
        <v>232</v>
      </c>
      <c r="B8" s="71">
        <v>900</v>
      </c>
      <c r="C8" s="71">
        <v>8</v>
      </c>
      <c r="D8" s="162" t="str">
        <f t="shared" si="0"/>
        <v>Стандарт</v>
      </c>
    </row>
    <row r="10" spans="1:6" x14ac:dyDescent="0.25">
      <c r="A10" s="25" t="s">
        <v>249</v>
      </c>
    </row>
    <row r="11" spans="1:6" x14ac:dyDescent="0.25">
      <c r="A11" s="77" t="s">
        <v>248</v>
      </c>
    </row>
    <row r="12" spans="1:6" x14ac:dyDescent="0.25">
      <c r="A12" s="76" t="s">
        <v>247</v>
      </c>
    </row>
    <row r="13" spans="1:6" x14ac:dyDescent="0.25">
      <c r="A13" s="76" t="s">
        <v>246</v>
      </c>
    </row>
    <row r="14" spans="1:6" x14ac:dyDescent="0.25">
      <c r="A14" s="76" t="s">
        <v>245</v>
      </c>
    </row>
    <row r="16" spans="1:6" x14ac:dyDescent="0.25">
      <c r="A16" s="1" t="s">
        <v>244</v>
      </c>
    </row>
    <row r="19" spans="1:6" x14ac:dyDescent="0.25">
      <c r="A19" s="75" t="s">
        <v>243</v>
      </c>
    </row>
    <row r="21" spans="1:6" ht="16.5" thickBot="1" x14ac:dyDescent="0.3">
      <c r="A21" s="72" t="s">
        <v>242</v>
      </c>
      <c r="B21" s="72" t="s">
        <v>241</v>
      </c>
      <c r="C21" s="74" t="s">
        <v>240</v>
      </c>
      <c r="F21" s="58" t="s">
        <v>239</v>
      </c>
    </row>
    <row r="22" spans="1:6" ht="16.5" thickBot="1" x14ac:dyDescent="0.3">
      <c r="A22" s="72" t="s">
        <v>238</v>
      </c>
      <c r="B22" s="73"/>
      <c r="C22" s="160" t="str">
        <f xml:space="preserve"> IF(ISBLANK(B22), "Нет данных",B22)</f>
        <v>Нет данных</v>
      </c>
      <c r="F22" s="1" t="s">
        <v>237</v>
      </c>
    </row>
    <row r="23" spans="1:6" ht="15.75" x14ac:dyDescent="0.25">
      <c r="A23" s="71" t="s">
        <v>236</v>
      </c>
      <c r="B23" s="71">
        <v>600</v>
      </c>
      <c r="C23" s="161">
        <f t="shared" ref="C22:C27" si="1" xml:space="preserve"> IF(ISBLANK(B23), "Нет данных",B23)</f>
        <v>600</v>
      </c>
    </row>
    <row r="24" spans="1:6" ht="15.75" x14ac:dyDescent="0.25">
      <c r="A24" s="72" t="s">
        <v>235</v>
      </c>
      <c r="B24" s="72">
        <v>1500</v>
      </c>
      <c r="C24" s="162">
        <f t="shared" si="1"/>
        <v>1500</v>
      </c>
    </row>
    <row r="25" spans="1:6" ht="15.75" x14ac:dyDescent="0.25">
      <c r="A25" s="71" t="s">
        <v>234</v>
      </c>
      <c r="B25" s="71">
        <v>0</v>
      </c>
      <c r="C25" s="162">
        <f t="shared" si="1"/>
        <v>0</v>
      </c>
    </row>
    <row r="26" spans="1:6" ht="15.75" x14ac:dyDescent="0.25">
      <c r="A26" s="72" t="s">
        <v>233</v>
      </c>
      <c r="B26" s="72">
        <v>400</v>
      </c>
      <c r="C26" s="162">
        <f t="shared" si="1"/>
        <v>400</v>
      </c>
    </row>
    <row r="27" spans="1:6" ht="15.75" x14ac:dyDescent="0.25">
      <c r="A27" s="71" t="s">
        <v>232</v>
      </c>
      <c r="B27" s="71">
        <v>900</v>
      </c>
      <c r="C27" s="162">
        <f t="shared" si="1"/>
        <v>900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5553-64D0-485B-A649-C4DB876D1146}">
  <dimension ref="A2:G17"/>
  <sheetViews>
    <sheetView workbookViewId="0">
      <selection activeCell="B17" sqref="B17"/>
    </sheetView>
  </sheetViews>
  <sheetFormatPr defaultRowHeight="15" x14ac:dyDescent="0.25"/>
  <cols>
    <col min="1" max="1" width="14.28515625" style="79" customWidth="1"/>
    <col min="2" max="2" width="15.140625" style="79" customWidth="1"/>
    <col min="3" max="3" width="32.28515625" style="79" customWidth="1"/>
    <col min="4" max="4" width="25.140625" style="79" customWidth="1"/>
    <col min="5" max="5" width="32.140625" customWidth="1"/>
  </cols>
  <sheetData>
    <row r="2" spans="1:5" ht="32.25" thickBot="1" x14ac:dyDescent="0.3">
      <c r="A2" s="6" t="s">
        <v>272</v>
      </c>
      <c r="B2" s="158" t="s">
        <v>271</v>
      </c>
      <c r="C2" s="6" t="s">
        <v>270</v>
      </c>
      <c r="D2" s="6" t="s">
        <v>269</v>
      </c>
      <c r="E2" s="6" t="s">
        <v>268</v>
      </c>
    </row>
    <row r="3" spans="1:5" ht="15.75" x14ac:dyDescent="0.25">
      <c r="A3" s="148"/>
      <c r="B3" s="179">
        <f ca="1">TODAY()</f>
        <v>45917</v>
      </c>
      <c r="C3" s="153"/>
      <c r="D3" s="6" t="s">
        <v>263</v>
      </c>
      <c r="E3" s="136" t="s">
        <v>405</v>
      </c>
    </row>
    <row r="4" spans="1:5" ht="31.5" x14ac:dyDescent="0.25">
      <c r="A4" s="149"/>
      <c r="B4" s="180">
        <f ca="1">NOW()</f>
        <v>45917.879772337961</v>
      </c>
      <c r="C4" s="154"/>
      <c r="D4" s="7" t="s">
        <v>267</v>
      </c>
      <c r="E4" s="137" t="s">
        <v>406</v>
      </c>
    </row>
    <row r="5" spans="1:5" ht="15.75" x14ac:dyDescent="0.25">
      <c r="A5" s="150">
        <v>45910</v>
      </c>
      <c r="B5" s="181">
        <f>YEAR(A5)</f>
        <v>2025</v>
      </c>
      <c r="C5" s="13" t="s">
        <v>266</v>
      </c>
      <c r="D5" s="6" t="s">
        <v>255</v>
      </c>
      <c r="E5" s="138" t="s">
        <v>407</v>
      </c>
    </row>
    <row r="6" spans="1:5" ht="15.75" x14ac:dyDescent="0.25">
      <c r="A6" s="150"/>
      <c r="B6" s="181">
        <f>MONTH(A5)</f>
        <v>9</v>
      </c>
      <c r="C6" s="14" t="s">
        <v>265</v>
      </c>
      <c r="D6" s="7" t="s">
        <v>255</v>
      </c>
      <c r="E6" s="139" t="s">
        <v>408</v>
      </c>
    </row>
    <row r="7" spans="1:5" ht="15.75" x14ac:dyDescent="0.25">
      <c r="A7" s="151"/>
      <c r="B7" s="181">
        <f>DAY(A5)</f>
        <v>10</v>
      </c>
      <c r="C7" s="13" t="s">
        <v>103</v>
      </c>
      <c r="D7" s="6" t="s">
        <v>255</v>
      </c>
      <c r="E7" s="138" t="s">
        <v>409</v>
      </c>
    </row>
    <row r="8" spans="1:5" ht="15.75" x14ac:dyDescent="0.25">
      <c r="A8" s="10">
        <v>1</v>
      </c>
      <c r="B8" s="181"/>
      <c r="C8" s="13" t="s">
        <v>103</v>
      </c>
      <c r="D8" s="6"/>
      <c r="E8" s="138"/>
    </row>
    <row r="9" spans="1:5" ht="15.75" x14ac:dyDescent="0.25">
      <c r="A9" s="10">
        <v>10</v>
      </c>
      <c r="B9" s="181"/>
      <c r="C9" s="13" t="s">
        <v>265</v>
      </c>
      <c r="D9" s="6"/>
      <c r="E9" s="138"/>
    </row>
    <row r="10" spans="1:5" ht="15.75" x14ac:dyDescent="0.25">
      <c r="A10" s="10">
        <v>2025</v>
      </c>
      <c r="B10" s="182">
        <f>DATE(A10, A9,A8)</f>
        <v>45931</v>
      </c>
      <c r="C10" s="13" t="s">
        <v>264</v>
      </c>
      <c r="D10" s="6"/>
      <c r="E10" s="138" t="s">
        <v>410</v>
      </c>
    </row>
    <row r="11" spans="1:5" ht="15.75" x14ac:dyDescent="0.25">
      <c r="A11" s="150"/>
      <c r="B11" s="182">
        <f>DATE(2025, 10, 1)</f>
        <v>45931</v>
      </c>
      <c r="C11" s="155">
        <v>45658</v>
      </c>
      <c r="D11" s="7" t="s">
        <v>263</v>
      </c>
      <c r="E11" s="140" t="s">
        <v>262</v>
      </c>
    </row>
    <row r="12" spans="1:5" ht="15.75" x14ac:dyDescent="0.25">
      <c r="A12" s="11">
        <v>30</v>
      </c>
      <c r="B12" s="183">
        <f>TIME(A14, A13,A12)</f>
        <v>0.5072916666666667</v>
      </c>
      <c r="C12" s="156" t="s">
        <v>261</v>
      </c>
      <c r="D12" s="28"/>
      <c r="E12" s="140"/>
    </row>
    <row r="13" spans="1:5" ht="15.75" x14ac:dyDescent="0.25">
      <c r="A13" s="11">
        <v>10</v>
      </c>
      <c r="B13" s="182"/>
      <c r="C13" s="14" t="s">
        <v>260</v>
      </c>
      <c r="D13" s="28"/>
      <c r="E13" s="140"/>
    </row>
    <row r="14" spans="1:5" ht="15.75" x14ac:dyDescent="0.25">
      <c r="A14" s="11">
        <v>12</v>
      </c>
      <c r="B14" s="184">
        <f>TIME(A14, A13,A12)</f>
        <v>0.5072916666666667</v>
      </c>
      <c r="C14" s="14" t="s">
        <v>259</v>
      </c>
      <c r="D14" s="28"/>
      <c r="E14" s="140" t="s">
        <v>404</v>
      </c>
    </row>
    <row r="15" spans="1:5" ht="15.75" x14ac:dyDescent="0.25">
      <c r="A15" s="152"/>
      <c r="B15" s="183">
        <f>TIME(15, 0, 10)</f>
        <v>0.62511574074074072</v>
      </c>
      <c r="C15" s="157">
        <v>0.62511574074074072</v>
      </c>
      <c r="D15" s="6" t="s">
        <v>258</v>
      </c>
      <c r="E15" s="141" t="s">
        <v>257</v>
      </c>
    </row>
    <row r="16" spans="1:5" ht="15.75" x14ac:dyDescent="0.25">
      <c r="A16" s="150">
        <v>45698</v>
      </c>
      <c r="B16" s="181">
        <f>NETWORKDAYS(A16, A16+10)</f>
        <v>9</v>
      </c>
      <c r="C16" s="14" t="s">
        <v>256</v>
      </c>
      <c r="D16" s="7" t="s">
        <v>255</v>
      </c>
      <c r="E16" s="139" t="s">
        <v>254</v>
      </c>
    </row>
    <row r="17" spans="1:7" ht="16.5" thickBot="1" x14ac:dyDescent="0.3">
      <c r="A17" s="150">
        <v>45698</v>
      </c>
      <c r="B17" s="159">
        <f>WEEKNUM(A17,1)</f>
        <v>7</v>
      </c>
      <c r="C17" s="156" t="s">
        <v>556</v>
      </c>
      <c r="D17" s="28"/>
      <c r="E17" s="142" t="s">
        <v>253</v>
      </c>
      <c r="F17" t="s">
        <v>554</v>
      </c>
      <c r="G17" t="s">
        <v>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AA9C-67BA-469B-94E0-5A5CF07865A4}">
  <dimension ref="A1:F25"/>
  <sheetViews>
    <sheetView tabSelected="1" zoomScale="106" zoomScaleNormal="106" workbookViewId="0">
      <selection activeCell="B18" sqref="B18"/>
    </sheetView>
  </sheetViews>
  <sheetFormatPr defaultRowHeight="15" x14ac:dyDescent="0.25"/>
  <cols>
    <col min="1" max="1" width="19.5703125" customWidth="1"/>
    <col min="2" max="2" width="43" customWidth="1"/>
  </cols>
  <sheetData>
    <row r="1" spans="1:6" ht="18.75" x14ac:dyDescent="0.4">
      <c r="A1" s="90" t="s">
        <v>287</v>
      </c>
      <c r="B1" s="90" t="s">
        <v>1</v>
      </c>
      <c r="F1" s="143" t="s">
        <v>275</v>
      </c>
    </row>
    <row r="2" spans="1:6" x14ac:dyDescent="0.25">
      <c r="A2" s="89">
        <v>45909</v>
      </c>
      <c r="B2" s="87" t="s">
        <v>286</v>
      </c>
      <c r="F2" t="s">
        <v>274</v>
      </c>
    </row>
    <row r="3" spans="1:6" x14ac:dyDescent="0.25">
      <c r="A3" s="88">
        <v>45976</v>
      </c>
      <c r="B3" s="87" t="s">
        <v>285</v>
      </c>
      <c r="F3" t="s">
        <v>273</v>
      </c>
    </row>
    <row r="4" spans="1:6" x14ac:dyDescent="0.25">
      <c r="A4" s="88">
        <v>45965</v>
      </c>
      <c r="B4" s="87" t="s">
        <v>284</v>
      </c>
    </row>
    <row r="5" spans="1:6" x14ac:dyDescent="0.25">
      <c r="A5" s="88">
        <v>45975</v>
      </c>
      <c r="B5" s="87" t="s">
        <v>284</v>
      </c>
    </row>
    <row r="6" spans="1:6" x14ac:dyDescent="0.25">
      <c r="A6" s="88">
        <v>45976</v>
      </c>
      <c r="B6" s="87" t="s">
        <v>284</v>
      </c>
    </row>
    <row r="7" spans="1:6" x14ac:dyDescent="0.25">
      <c r="A7" s="87" t="s">
        <v>271</v>
      </c>
      <c r="B7" s="87" t="s">
        <v>1</v>
      </c>
    </row>
    <row r="8" spans="1:6" ht="37.5" customHeight="1" x14ac:dyDescent="0.25">
      <c r="A8" s="146">
        <f>NETWORKDAYS(A2,A3)</f>
        <v>49</v>
      </c>
      <c r="B8" s="86" t="s">
        <v>283</v>
      </c>
      <c r="C8" s="85" t="s">
        <v>282</v>
      </c>
    </row>
    <row r="9" spans="1:6" ht="60" x14ac:dyDescent="0.25">
      <c r="A9" s="146">
        <f>NETWORKDAYS(A2,A3,A4)</f>
        <v>48</v>
      </c>
      <c r="B9" s="86" t="s">
        <v>281</v>
      </c>
      <c r="C9" s="85" t="s">
        <v>280</v>
      </c>
    </row>
    <row r="10" spans="1:6" ht="45" x14ac:dyDescent="0.25">
      <c r="A10" s="146">
        <f>NETWORKDAYS(A2,A3,A4:A6)</f>
        <v>47</v>
      </c>
      <c r="B10" s="86" t="s">
        <v>279</v>
      </c>
      <c r="C10" s="85" t="s">
        <v>278</v>
      </c>
    </row>
    <row r="11" spans="1:6" x14ac:dyDescent="0.25">
      <c r="A11" s="144">
        <f>WEEKDAY(A2, 2)</f>
        <v>2</v>
      </c>
      <c r="B11" s="147" t="str">
        <f>IF(WEEKDAY(A2, 2)=1, "Понедельник", IF(WEEKDAY(A2, 2)=2, "Вторник", IF(WEEKDAY(A2, 2)=3, "Среда", IF(WEEKDAY(A2, 2)=4, "Четверг", IF(WEEKDAY(A2, 2)=5, "Пятница", IF(WEEKDAY(A2, 2)=6, "Суббота", "Воскресенье"))))))</f>
        <v>Вторник</v>
      </c>
      <c r="C11" s="85" t="s">
        <v>277</v>
      </c>
    </row>
    <row r="12" spans="1:6" x14ac:dyDescent="0.25">
      <c r="B12" s="85" t="str">
        <f>TEXT(A2,"ДДДД")</f>
        <v>вторник</v>
      </c>
    </row>
    <row r="13" spans="1:6" x14ac:dyDescent="0.25">
      <c r="A13" s="84" t="s">
        <v>276</v>
      </c>
      <c r="B13" s="83"/>
    </row>
    <row r="22" spans="2:2" ht="17.25" x14ac:dyDescent="0.25">
      <c r="B22" s="82"/>
    </row>
    <row r="23" spans="2:2" ht="17.25" x14ac:dyDescent="0.25">
      <c r="B23" s="81"/>
    </row>
    <row r="24" spans="2:2" ht="17.25" x14ac:dyDescent="0.25">
      <c r="B24" s="80"/>
    </row>
    <row r="25" spans="2:2" ht="17.25" x14ac:dyDescent="0.25">
      <c r="B25" s="8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D8C0-166C-4BCB-B8D1-B3F1BDB2FD98}">
  <dimension ref="A2:F18"/>
  <sheetViews>
    <sheetView workbookViewId="0">
      <selection activeCell="A17" sqref="A17:E17"/>
    </sheetView>
  </sheetViews>
  <sheetFormatPr defaultRowHeight="15" x14ac:dyDescent="0.25"/>
  <cols>
    <col min="1" max="1" width="10.85546875" customWidth="1"/>
    <col min="2" max="2" width="16.5703125" customWidth="1"/>
    <col min="8" max="8" width="11.85546875" customWidth="1"/>
  </cols>
  <sheetData>
    <row r="2" spans="1:6" x14ac:dyDescent="0.25">
      <c r="B2" s="25" t="s">
        <v>296</v>
      </c>
    </row>
    <row r="3" spans="1:6" x14ac:dyDescent="0.25">
      <c r="A3" s="83">
        <v>45658</v>
      </c>
      <c r="B3" s="144">
        <f>DATEDIF(A3, A4, "Y")</f>
        <v>2</v>
      </c>
      <c r="C3" t="s">
        <v>295</v>
      </c>
      <c r="F3" s="1" t="s">
        <v>557</v>
      </c>
    </row>
    <row r="4" spans="1:6" x14ac:dyDescent="0.25">
      <c r="A4" s="83">
        <v>46687</v>
      </c>
      <c r="B4" s="144">
        <f>DATEDIF(A3, A4, "M")</f>
        <v>33</v>
      </c>
      <c r="C4" t="s">
        <v>265</v>
      </c>
      <c r="F4" s="1" t="s">
        <v>558</v>
      </c>
    </row>
    <row r="5" spans="1:6" x14ac:dyDescent="0.25">
      <c r="A5" s="83"/>
      <c r="B5" s="144">
        <f>DATEDIF(A3, A4, "D")</f>
        <v>1029</v>
      </c>
      <c r="C5" t="s">
        <v>294</v>
      </c>
      <c r="F5" s="1" t="s">
        <v>559</v>
      </c>
    </row>
    <row r="6" spans="1:6" ht="15.75" x14ac:dyDescent="0.25">
      <c r="A6" s="83"/>
      <c r="B6" s="144">
        <f>DATEDIF(A3, A4, "YM")</f>
        <v>9</v>
      </c>
      <c r="C6" s="91" t="s">
        <v>293</v>
      </c>
      <c r="F6" s="1" t="s">
        <v>560</v>
      </c>
    </row>
    <row r="7" spans="1:6" ht="15.75" x14ac:dyDescent="0.25">
      <c r="A7" s="83"/>
      <c r="B7" s="144">
        <f>DATEDIF(A3, A4, "YD")</f>
        <v>299</v>
      </c>
      <c r="C7" s="91" t="s">
        <v>292</v>
      </c>
      <c r="F7" s="1" t="s">
        <v>561</v>
      </c>
    </row>
    <row r="8" spans="1:6" x14ac:dyDescent="0.25">
      <c r="A8" s="83"/>
      <c r="B8" s="144">
        <f>DATEDIF(A3, A4, "MD")</f>
        <v>26</v>
      </c>
      <c r="C8" t="s">
        <v>291</v>
      </c>
      <c r="F8" s="1" t="s">
        <v>562</v>
      </c>
    </row>
    <row r="9" spans="1:6" x14ac:dyDescent="0.25">
      <c r="A9" s="83"/>
    </row>
    <row r="10" spans="1:6" x14ac:dyDescent="0.25">
      <c r="A10" s="83"/>
    </row>
    <row r="12" spans="1:6" x14ac:dyDescent="0.25">
      <c r="A12" s="25" t="s">
        <v>411</v>
      </c>
    </row>
    <row r="13" spans="1:6" ht="15.75" thickBot="1" x14ac:dyDescent="0.3"/>
    <row r="14" spans="1:6" ht="15.75" thickBot="1" x14ac:dyDescent="0.3">
      <c r="A14" s="83">
        <v>27395</v>
      </c>
      <c r="B14" s="135">
        <f ca="1">DATEDIF(A14, TODAY(), "Y")</f>
        <v>50</v>
      </c>
      <c r="C14" s="1" t="s">
        <v>290</v>
      </c>
    </row>
    <row r="16" spans="1:6" ht="15.75" thickBot="1" x14ac:dyDescent="0.3">
      <c r="B16" s="25" t="s">
        <v>289</v>
      </c>
    </row>
    <row r="17" spans="1:5" ht="15.75" thickBot="1" x14ac:dyDescent="0.3">
      <c r="A17" s="294" t="str">
        <f ca="1">"Отчет составлен: "&amp;TEXT(TODAY(),"дддд, дд ММММ гггг")</f>
        <v>Отчет составлен: среда, 17 Сентябрь 2025</v>
      </c>
      <c r="B17" s="295"/>
      <c r="C17" s="295"/>
      <c r="D17" s="295"/>
      <c r="E17" s="296"/>
    </row>
    <row r="18" spans="1:5" x14ac:dyDescent="0.25">
      <c r="A18" s="1" t="s">
        <v>288</v>
      </c>
    </row>
  </sheetData>
  <mergeCells count="1">
    <mergeCell ref="A17:E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C96B-F15D-44D8-A9C8-6A1A6F764373}">
  <dimension ref="A1:P24"/>
  <sheetViews>
    <sheetView workbookViewId="0">
      <selection activeCell="C28" sqref="C28"/>
    </sheetView>
  </sheetViews>
  <sheetFormatPr defaultRowHeight="15" x14ac:dyDescent="0.25"/>
  <cols>
    <col min="2" max="2" width="12.140625" customWidth="1"/>
    <col min="5" max="5" width="13.42578125" bestFit="1" customWidth="1"/>
    <col min="7" max="7" width="11.85546875" customWidth="1"/>
    <col min="9" max="9" width="11.5703125" customWidth="1"/>
    <col min="12" max="12" width="2.28515625" customWidth="1"/>
  </cols>
  <sheetData>
    <row r="1" spans="1:13" ht="28.5" x14ac:dyDescent="0.25">
      <c r="A1" s="198" t="s">
        <v>309</v>
      </c>
      <c r="B1" s="199" t="s">
        <v>308</v>
      </c>
      <c r="C1" s="200" t="s">
        <v>241</v>
      </c>
      <c r="D1" s="23"/>
      <c r="E1" s="23"/>
      <c r="F1" s="23"/>
      <c r="G1" s="201" t="s">
        <v>2</v>
      </c>
      <c r="H1" s="202" t="s">
        <v>4</v>
      </c>
      <c r="I1" s="202" t="s">
        <v>5</v>
      </c>
      <c r="J1" s="202" t="s">
        <v>6</v>
      </c>
      <c r="K1" s="203" t="s">
        <v>7</v>
      </c>
    </row>
    <row r="2" spans="1:13" ht="15.75" x14ac:dyDescent="0.25">
      <c r="A2" s="193">
        <v>101</v>
      </c>
      <c r="B2" s="61" t="s">
        <v>307</v>
      </c>
      <c r="C2" s="194">
        <v>80</v>
      </c>
      <c r="D2" s="23"/>
      <c r="E2" s="23"/>
      <c r="F2" s="23"/>
      <c r="G2" s="204" t="s">
        <v>3</v>
      </c>
      <c r="H2" s="190">
        <v>15000</v>
      </c>
      <c r="I2" s="188">
        <v>18000</v>
      </c>
      <c r="J2" s="210">
        <v>22000</v>
      </c>
      <c r="K2" s="205">
        <v>20000</v>
      </c>
    </row>
    <row r="3" spans="1:13" ht="16.5" thickBot="1" x14ac:dyDescent="0.3">
      <c r="A3" s="191">
        <v>102</v>
      </c>
      <c r="B3" s="92" t="s">
        <v>306</v>
      </c>
      <c r="C3" s="192">
        <v>45</v>
      </c>
      <c r="D3" s="23"/>
      <c r="E3" s="23"/>
      <c r="F3" s="23"/>
      <c r="G3" s="206" t="s">
        <v>426</v>
      </c>
      <c r="H3" s="207">
        <v>35000</v>
      </c>
      <c r="I3" s="208">
        <v>38000</v>
      </c>
      <c r="J3" s="208">
        <v>52000</v>
      </c>
      <c r="K3" s="209">
        <v>50000</v>
      </c>
    </row>
    <row r="4" spans="1:13" ht="15.75" x14ac:dyDescent="0.25">
      <c r="A4" s="193">
        <v>103</v>
      </c>
      <c r="B4" s="61" t="s">
        <v>305</v>
      </c>
      <c r="C4" s="217">
        <v>120</v>
      </c>
      <c r="D4" s="23"/>
      <c r="E4" s="23"/>
      <c r="F4" s="23"/>
      <c r="G4" s="23"/>
      <c r="H4" s="23"/>
      <c r="I4" s="23"/>
      <c r="J4" s="23"/>
      <c r="K4" s="23"/>
    </row>
    <row r="5" spans="1:13" ht="15.75" x14ac:dyDescent="0.25">
      <c r="A5" s="191">
        <v>104</v>
      </c>
      <c r="B5" s="211" t="s">
        <v>304</v>
      </c>
      <c r="C5" s="218">
        <v>250</v>
      </c>
      <c r="D5" s="23"/>
      <c r="E5" s="23"/>
      <c r="F5" s="23"/>
      <c r="G5" s="23"/>
      <c r="H5" s="23"/>
      <c r="I5" s="23"/>
      <c r="J5" s="23"/>
      <c r="K5" s="23"/>
    </row>
    <row r="6" spans="1:13" ht="15.75" x14ac:dyDescent="0.25">
      <c r="A6" s="193">
        <v>105</v>
      </c>
      <c r="B6" s="213" t="s">
        <v>303</v>
      </c>
      <c r="C6" s="194">
        <v>300</v>
      </c>
      <c r="D6" s="23"/>
      <c r="E6" s="23"/>
      <c r="F6" s="23"/>
      <c r="G6" s="23"/>
      <c r="H6" s="23"/>
      <c r="I6" s="23"/>
      <c r="J6" s="23"/>
      <c r="K6" s="23"/>
    </row>
    <row r="7" spans="1:13" ht="15.75" x14ac:dyDescent="0.25">
      <c r="A7" s="191">
        <v>106</v>
      </c>
      <c r="B7" s="92" t="s">
        <v>302</v>
      </c>
      <c r="C7" s="192">
        <v>50</v>
      </c>
      <c r="D7" s="23"/>
      <c r="E7" s="23"/>
      <c r="F7" s="23"/>
      <c r="G7" s="23"/>
      <c r="H7" s="23"/>
      <c r="I7" s="23"/>
      <c r="J7" s="23"/>
      <c r="K7" s="23"/>
    </row>
    <row r="8" spans="1:13" ht="15.75" x14ac:dyDescent="0.25">
      <c r="A8" s="193">
        <v>107</v>
      </c>
      <c r="B8" s="61" t="s">
        <v>301</v>
      </c>
      <c r="C8" s="194">
        <v>850</v>
      </c>
      <c r="D8" s="23"/>
      <c r="E8" s="23"/>
      <c r="F8" s="23"/>
      <c r="G8" s="23"/>
      <c r="H8" s="23"/>
      <c r="I8" s="23"/>
      <c r="J8" s="23"/>
      <c r="K8" s="23"/>
    </row>
    <row r="9" spans="1:13" ht="16.5" thickBot="1" x14ac:dyDescent="0.3">
      <c r="A9" s="195">
        <v>108</v>
      </c>
      <c r="B9" s="196" t="s">
        <v>300</v>
      </c>
      <c r="C9" s="197">
        <v>760</v>
      </c>
      <c r="D9" s="23"/>
      <c r="E9" s="23"/>
      <c r="F9" s="23"/>
      <c r="G9" s="23"/>
      <c r="H9" s="23"/>
      <c r="I9" s="23"/>
      <c r="J9" s="23"/>
      <c r="K9" s="23"/>
    </row>
    <row r="11" spans="1:13" x14ac:dyDescent="0.25">
      <c r="A11" s="25" t="s">
        <v>299</v>
      </c>
    </row>
    <row r="12" spans="1:13" ht="15.75" thickBot="1" x14ac:dyDescent="0.3"/>
    <row r="13" spans="1:13" ht="15.75" x14ac:dyDescent="0.25">
      <c r="A13" t="s">
        <v>438</v>
      </c>
      <c r="E13" s="214">
        <f>VLOOKUP(104, A1:C9,3, FALSE)</f>
        <v>250</v>
      </c>
      <c r="G13" s="1" t="s">
        <v>419</v>
      </c>
      <c r="J13" s="129" t="s">
        <v>417</v>
      </c>
      <c r="M13" s="185" t="s">
        <v>418</v>
      </c>
    </row>
    <row r="14" spans="1:13" ht="16.5" thickBot="1" x14ac:dyDescent="0.3">
      <c r="A14" t="s">
        <v>298</v>
      </c>
      <c r="E14" s="215">
        <f>HLOOKUP("Март", G1:K3, 2, FALSE)</f>
        <v>22000</v>
      </c>
      <c r="G14" s="1" t="s">
        <v>420</v>
      </c>
      <c r="J14" t="s">
        <v>436</v>
      </c>
      <c r="M14" s="185" t="s">
        <v>425</v>
      </c>
    </row>
    <row r="15" spans="1:13" ht="16.5" thickBot="1" x14ac:dyDescent="0.3">
      <c r="A15" t="s">
        <v>297</v>
      </c>
      <c r="E15" s="212" t="str">
        <f>INDEX( A1:C9,5,2)</f>
        <v>Масло</v>
      </c>
      <c r="G15" s="1" t="s">
        <v>431</v>
      </c>
      <c r="J15" s="129" t="s">
        <v>432</v>
      </c>
      <c r="M15" s="185" t="s">
        <v>429</v>
      </c>
    </row>
    <row r="16" spans="1:13" ht="16.5" thickBot="1" x14ac:dyDescent="0.3">
      <c r="E16" s="216" t="str">
        <f>INDEX( A2:C9,5,2)</f>
        <v>Фрукты</v>
      </c>
      <c r="G16" s="1" t="s">
        <v>430</v>
      </c>
      <c r="J16" s="120" t="s">
        <v>433</v>
      </c>
      <c r="M16" s="185"/>
    </row>
    <row r="17" spans="1:16" ht="16.5" thickBot="1" x14ac:dyDescent="0.3">
      <c r="A17" t="s">
        <v>437</v>
      </c>
      <c r="E17" s="212">
        <f>MATCH(104,A2:A9)</f>
        <v>4</v>
      </c>
      <c r="G17" s="1" t="s">
        <v>434</v>
      </c>
      <c r="J17" t="s">
        <v>435</v>
      </c>
      <c r="M17" s="185" t="s">
        <v>439</v>
      </c>
      <c r="P17" s="222" t="s">
        <v>445</v>
      </c>
    </row>
    <row r="18" spans="1:16" x14ac:dyDescent="0.25">
      <c r="P18" s="222" t="s">
        <v>446</v>
      </c>
    </row>
    <row r="19" spans="1:16" x14ac:dyDescent="0.25">
      <c r="A19" s="1" t="s">
        <v>419</v>
      </c>
      <c r="D19" t="s">
        <v>424</v>
      </c>
      <c r="P19" s="222" t="s">
        <v>447</v>
      </c>
    </row>
    <row r="20" spans="1:16" x14ac:dyDescent="0.25">
      <c r="A20" s="1" t="s">
        <v>420</v>
      </c>
      <c r="D20" t="s">
        <v>427</v>
      </c>
      <c r="J20" s="79"/>
    </row>
    <row r="21" spans="1:16" ht="18.75" x14ac:dyDescent="0.25">
      <c r="A21" s="1" t="s">
        <v>421</v>
      </c>
      <c r="D21" t="s">
        <v>428</v>
      </c>
      <c r="P21" s="221"/>
    </row>
    <row r="23" spans="1:16" x14ac:dyDescent="0.25">
      <c r="A23" s="186" t="s">
        <v>422</v>
      </c>
    </row>
    <row r="24" spans="1:16" x14ac:dyDescent="0.25">
      <c r="A24" s="187" t="s">
        <v>423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F5B5-ADC7-412F-B93B-1EB624FB41A4}">
  <dimension ref="A1:U25"/>
  <sheetViews>
    <sheetView topLeftCell="C4" workbookViewId="0">
      <selection activeCell="C27" sqref="C27"/>
    </sheetView>
  </sheetViews>
  <sheetFormatPr defaultRowHeight="15" x14ac:dyDescent="0.25"/>
  <cols>
    <col min="1" max="1" width="15.85546875" style="93" customWidth="1"/>
    <col min="2" max="2" width="16.140625" style="93" customWidth="1"/>
    <col min="3" max="3" width="19.42578125" style="93" customWidth="1"/>
    <col min="4" max="4" width="12.85546875" style="93" customWidth="1"/>
    <col min="5" max="5" width="12" customWidth="1"/>
    <col min="6" max="6" width="11.85546875" customWidth="1"/>
    <col min="7" max="8" width="14.7109375" customWidth="1"/>
    <col min="9" max="9" width="15.140625" customWidth="1"/>
    <col min="10" max="10" width="10.5703125" customWidth="1"/>
  </cols>
  <sheetData>
    <row r="1" spans="1:21" ht="27.75" customHeight="1" x14ac:dyDescent="0.25">
      <c r="A1" s="108" t="s">
        <v>328</v>
      </c>
      <c r="B1" s="117" t="s">
        <v>58</v>
      </c>
      <c r="C1" s="116" t="s">
        <v>73</v>
      </c>
      <c r="D1" s="115" t="s">
        <v>211</v>
      </c>
      <c r="E1" s="114" t="s">
        <v>323</v>
      </c>
      <c r="F1" s="114" t="s">
        <v>67</v>
      </c>
      <c r="G1" s="114" t="s">
        <v>319</v>
      </c>
      <c r="H1" s="114" t="s">
        <v>40</v>
      </c>
      <c r="I1" s="114" t="s">
        <v>318</v>
      </c>
      <c r="J1" s="113" t="s">
        <v>315</v>
      </c>
      <c r="K1" s="53"/>
      <c r="L1" s="53"/>
    </row>
    <row r="2" spans="1:21" x14ac:dyDescent="0.25">
      <c r="A2" s="108">
        <v>1</v>
      </c>
      <c r="B2" s="107" t="s">
        <v>327</v>
      </c>
      <c r="C2" s="106" t="s">
        <v>40</v>
      </c>
      <c r="D2" s="108">
        <v>80000</v>
      </c>
      <c r="E2" s="100" t="s">
        <v>322</v>
      </c>
      <c r="F2" s="100">
        <v>12</v>
      </c>
      <c r="G2" s="223">
        <v>15</v>
      </c>
      <c r="H2" s="100">
        <v>10</v>
      </c>
      <c r="I2" s="100">
        <v>9</v>
      </c>
      <c r="J2" s="112">
        <v>6</v>
      </c>
      <c r="K2" s="111"/>
      <c r="L2" s="111"/>
    </row>
    <row r="3" spans="1:21" ht="25.5" customHeight="1" x14ac:dyDescent="0.25">
      <c r="A3" s="108">
        <v>2</v>
      </c>
      <c r="B3" s="107" t="s">
        <v>326</v>
      </c>
      <c r="C3" s="227" t="s">
        <v>67</v>
      </c>
      <c r="D3" s="108">
        <v>60000</v>
      </c>
      <c r="E3" s="110" t="s">
        <v>321</v>
      </c>
      <c r="F3" s="232" t="s">
        <v>317</v>
      </c>
      <c r="G3" s="109" t="s">
        <v>317</v>
      </c>
      <c r="H3" s="109" t="s">
        <v>3</v>
      </c>
      <c r="I3" s="109" t="s">
        <v>317</v>
      </c>
      <c r="J3" s="96" t="s">
        <v>314</v>
      </c>
      <c r="K3" s="79"/>
      <c r="L3" s="79"/>
      <c r="N3" s="94"/>
      <c r="O3" s="94"/>
      <c r="P3" s="94"/>
      <c r="Q3" s="94"/>
      <c r="R3" s="94"/>
      <c r="S3" s="94"/>
      <c r="T3" s="94"/>
      <c r="U3" s="94"/>
    </row>
    <row r="4" spans="1:21" x14ac:dyDescent="0.25">
      <c r="A4" s="108">
        <v>3</v>
      </c>
      <c r="B4" s="107" t="s">
        <v>325</v>
      </c>
      <c r="C4" s="224" t="s">
        <v>319</v>
      </c>
      <c r="D4" s="106">
        <v>90000</v>
      </c>
      <c r="M4" s="94"/>
      <c r="N4" s="94"/>
      <c r="O4" s="94"/>
      <c r="P4" s="94"/>
      <c r="Q4" s="94"/>
      <c r="R4" s="94"/>
      <c r="S4" s="94"/>
      <c r="T4" s="94"/>
      <c r="U4" s="94"/>
    </row>
    <row r="5" spans="1:21" x14ac:dyDescent="0.25">
      <c r="A5" s="108">
        <v>4</v>
      </c>
      <c r="B5" s="107" t="s">
        <v>324</v>
      </c>
      <c r="C5" s="106" t="s">
        <v>318</v>
      </c>
      <c r="D5" s="106">
        <v>50000</v>
      </c>
      <c r="H5" s="105" t="s">
        <v>323</v>
      </c>
      <c r="I5" s="105" t="s">
        <v>322</v>
      </c>
      <c r="J5" s="105" t="s">
        <v>321</v>
      </c>
      <c r="M5" s="94"/>
      <c r="N5" s="94"/>
      <c r="O5" s="94"/>
      <c r="P5" s="94"/>
      <c r="Q5" s="94"/>
      <c r="R5" s="94"/>
      <c r="S5" s="94"/>
      <c r="T5" s="94"/>
      <c r="U5" s="94"/>
    </row>
    <row r="6" spans="1:21" ht="16.5" customHeight="1" x14ac:dyDescent="0.25">
      <c r="A6" s="103">
        <v>5</v>
      </c>
      <c r="B6" s="104" t="s">
        <v>320</v>
      </c>
      <c r="C6" s="103" t="s">
        <v>315</v>
      </c>
      <c r="D6" s="103">
        <v>30000</v>
      </c>
      <c r="E6" s="102"/>
      <c r="H6" s="101" t="s">
        <v>319</v>
      </c>
      <c r="I6" s="100">
        <v>15</v>
      </c>
      <c r="J6" s="99" t="s">
        <v>317</v>
      </c>
      <c r="M6" s="94"/>
      <c r="N6" s="94"/>
      <c r="O6" s="94"/>
      <c r="P6" s="94"/>
      <c r="Q6" s="94"/>
      <c r="R6" s="94"/>
      <c r="S6" s="94"/>
      <c r="T6" s="94"/>
      <c r="U6" s="94"/>
    </row>
    <row r="7" spans="1:21" x14ac:dyDescent="0.25">
      <c r="H7" s="101" t="s">
        <v>67</v>
      </c>
      <c r="I7" s="100">
        <v>12</v>
      </c>
      <c r="J7" s="231" t="s">
        <v>317</v>
      </c>
      <c r="M7" s="94"/>
      <c r="N7" s="94"/>
      <c r="O7" s="94"/>
      <c r="P7" s="94"/>
      <c r="Q7" s="94"/>
      <c r="R7" s="94"/>
      <c r="S7" s="94"/>
      <c r="T7" s="94"/>
      <c r="U7" s="94"/>
    </row>
    <row r="8" spans="1:21" x14ac:dyDescent="0.25">
      <c r="H8" s="101" t="s">
        <v>40</v>
      </c>
      <c r="I8" s="100">
        <v>10</v>
      </c>
      <c r="J8" s="99" t="s">
        <v>3</v>
      </c>
      <c r="M8" s="94"/>
      <c r="N8" s="94"/>
      <c r="O8" s="94"/>
      <c r="P8" s="94"/>
      <c r="Q8" s="94"/>
      <c r="R8" s="94"/>
      <c r="S8" s="94"/>
      <c r="T8" s="94"/>
      <c r="U8" s="94"/>
    </row>
    <row r="9" spans="1:21" x14ac:dyDescent="0.25">
      <c r="H9" s="101" t="s">
        <v>318</v>
      </c>
      <c r="I9" s="100">
        <v>9</v>
      </c>
      <c r="J9" s="99" t="s">
        <v>317</v>
      </c>
      <c r="M9" s="94"/>
      <c r="N9" s="94"/>
      <c r="O9" s="94"/>
      <c r="P9" s="94"/>
      <c r="Q9" s="94"/>
      <c r="R9" s="94"/>
      <c r="S9" s="94"/>
      <c r="T9" s="94"/>
      <c r="U9" s="94"/>
    </row>
    <row r="10" spans="1:21" x14ac:dyDescent="0.25">
      <c r="A10" s="93" t="s">
        <v>316</v>
      </c>
      <c r="H10" s="98" t="s">
        <v>315</v>
      </c>
      <c r="I10" s="97">
        <v>6</v>
      </c>
      <c r="J10" s="96" t="s">
        <v>314</v>
      </c>
      <c r="M10" s="94"/>
      <c r="N10" s="94"/>
      <c r="O10" s="94"/>
      <c r="P10" s="94"/>
      <c r="Q10" s="94"/>
      <c r="R10" s="94"/>
      <c r="S10" s="94"/>
      <c r="T10" s="94"/>
      <c r="U10" s="94"/>
    </row>
    <row r="11" spans="1:21" x14ac:dyDescent="0.25">
      <c r="M11" s="94"/>
      <c r="N11" s="94"/>
      <c r="O11" s="94"/>
      <c r="P11" s="94"/>
      <c r="Q11" s="94"/>
      <c r="R11" s="94"/>
      <c r="S11" s="94"/>
      <c r="T11" s="94"/>
      <c r="U11" s="94"/>
    </row>
    <row r="12" spans="1:21" x14ac:dyDescent="0.25">
      <c r="A12" s="93" t="s">
        <v>313</v>
      </c>
      <c r="D12" s="225" t="str">
        <f>VLOOKUP(3, A1:D6, 3, FALSE)</f>
        <v>Разработчик</v>
      </c>
      <c r="E12" s="1" t="s">
        <v>449</v>
      </c>
      <c r="M12" s="94"/>
      <c r="N12" s="94"/>
      <c r="O12" s="94"/>
      <c r="P12" s="94"/>
      <c r="Q12" s="94"/>
      <c r="R12" s="94"/>
      <c r="S12" s="94"/>
      <c r="T12" s="94"/>
      <c r="U12" s="94"/>
    </row>
    <row r="13" spans="1:21" x14ac:dyDescent="0.25">
      <c r="A13" s="93" t="s">
        <v>448</v>
      </c>
      <c r="D13" s="226">
        <f>HLOOKUP(D12,E1:J3,2, FALSE)</f>
        <v>15</v>
      </c>
      <c r="E13" s="1" t="s">
        <v>452</v>
      </c>
      <c r="I13" s="95"/>
      <c r="M13" s="94"/>
      <c r="N13" s="94"/>
      <c r="O13" s="94"/>
      <c r="P13" s="94"/>
      <c r="Q13" s="94"/>
      <c r="R13" s="94"/>
      <c r="S13" s="94"/>
      <c r="T13" s="94"/>
      <c r="U13" s="94"/>
    </row>
    <row r="14" spans="1:21" x14ac:dyDescent="0.25">
      <c r="A14" s="93" t="s">
        <v>312</v>
      </c>
      <c r="D14" s="225" t="str">
        <f>INDEX(C1:C6, MATCH(2, A1:A6, 0))</f>
        <v>Аналитик</v>
      </c>
      <c r="E14" s="1" t="s">
        <v>450</v>
      </c>
      <c r="H14" t="s">
        <v>454</v>
      </c>
      <c r="M14" s="94"/>
      <c r="N14" s="228">
        <f>MATCH(2, A1:A6, 0)</f>
        <v>3</v>
      </c>
      <c r="O14" s="79" t="s">
        <v>455</v>
      </c>
      <c r="S14" s="94"/>
      <c r="T14" s="94"/>
      <c r="U14" s="94"/>
    </row>
    <row r="15" spans="1:21" ht="15.75" customHeight="1" x14ac:dyDescent="0.25">
      <c r="A15" s="93" t="s">
        <v>311</v>
      </c>
      <c r="D15" s="230" t="str">
        <f>INDEX(J5:J10, MATCH(INDEX(C1:C6, MATCH(2, A1:A6, 0)),H5:H10, 0))</f>
        <v>IT</v>
      </c>
      <c r="E15" s="1" t="s">
        <v>456</v>
      </c>
      <c r="M15" s="94"/>
      <c r="N15" s="229">
        <f>MATCH(INDEX(C1:C6, MATCH(2, A1:A6, 0)),H5:H10, 0)</f>
        <v>3</v>
      </c>
      <c r="O15" s="79" t="s">
        <v>453</v>
      </c>
      <c r="S15" s="94"/>
      <c r="T15" s="94"/>
      <c r="U15" s="94"/>
    </row>
    <row r="16" spans="1:21" ht="18" customHeight="1" x14ac:dyDescent="0.25">
      <c r="A16" s="93" t="s">
        <v>310</v>
      </c>
      <c r="D16" s="226" t="str">
        <f>INDEX(E3:J3, MATCH(INDEX(C1:C6, MATCH(2, A1:A6, 0)),E1:J1, 0))</f>
        <v>IT</v>
      </c>
      <c r="E16" s="1" t="s">
        <v>451</v>
      </c>
      <c r="M16" s="94"/>
      <c r="N16" s="229">
        <f>MATCH(INDEX(C1:C6, MATCH(2, A1:A6, 0)),E1:J1, 0)</f>
        <v>2</v>
      </c>
      <c r="O16" s="79" t="s">
        <v>457</v>
      </c>
      <c r="S16" s="94"/>
      <c r="T16" s="94"/>
      <c r="U16" s="94"/>
    </row>
    <row r="17" spans="1:21" x14ac:dyDescent="0.25">
      <c r="M17" s="94"/>
      <c r="N17" s="94"/>
      <c r="O17" s="94"/>
      <c r="P17" s="94"/>
      <c r="Q17" s="94"/>
      <c r="R17" s="79"/>
      <c r="S17" s="94"/>
      <c r="T17" s="94"/>
      <c r="U17" s="94"/>
    </row>
    <row r="18" spans="1:21" x14ac:dyDescent="0.25">
      <c r="M18" s="94"/>
      <c r="N18" s="94"/>
      <c r="O18" s="94"/>
      <c r="P18" s="94"/>
      <c r="Q18" s="94"/>
      <c r="R18" s="79"/>
      <c r="S18" s="94"/>
      <c r="T18" s="94"/>
      <c r="U18" s="94"/>
    </row>
    <row r="19" spans="1:21" x14ac:dyDescent="0.25">
      <c r="M19" s="94"/>
      <c r="N19" s="94"/>
      <c r="O19" s="94"/>
      <c r="P19" s="94"/>
      <c r="Q19" s="94"/>
      <c r="R19" s="79"/>
      <c r="S19" s="94"/>
      <c r="T19" s="94"/>
      <c r="U19" s="94"/>
    </row>
    <row r="20" spans="1:21" ht="15" customHeight="1" x14ac:dyDescent="0.25">
      <c r="A20" s="219" t="s">
        <v>441</v>
      </c>
    </row>
    <row r="21" spans="1:21" ht="17.25" customHeight="1" x14ac:dyDescent="0.25">
      <c r="A21" s="220" t="s">
        <v>440</v>
      </c>
    </row>
    <row r="22" spans="1:21" ht="17.25" customHeight="1" x14ac:dyDescent="0.25">
      <c r="C22"/>
      <c r="D22"/>
    </row>
    <row r="23" spans="1:21" ht="17.25" customHeight="1" x14ac:dyDescent="0.25">
      <c r="A23" s="219" t="s">
        <v>442</v>
      </c>
      <c r="C23"/>
      <c r="D23"/>
    </row>
    <row r="24" spans="1:21" ht="17.25" customHeight="1" x14ac:dyDescent="0.25">
      <c r="A24" s="220" t="s">
        <v>443</v>
      </c>
      <c r="B24"/>
      <c r="C24"/>
      <c r="D24"/>
    </row>
    <row r="25" spans="1:21" x14ac:dyDescent="0.25">
      <c r="A25" s="79" t="s">
        <v>444</v>
      </c>
      <c r="B25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A8364-4CBD-40F2-BB9E-C437EC47DC2B}">
  <dimension ref="A1:K29"/>
  <sheetViews>
    <sheetView workbookViewId="0">
      <selection activeCell="B26" sqref="B26"/>
    </sheetView>
  </sheetViews>
  <sheetFormatPr defaultRowHeight="15" x14ac:dyDescent="0.25"/>
  <cols>
    <col min="1" max="1" width="17.5703125" customWidth="1"/>
    <col min="2" max="2" width="26.85546875" customWidth="1"/>
    <col min="3" max="3" width="52" customWidth="1"/>
    <col min="4" max="4" width="16.28515625" customWidth="1"/>
    <col min="10" max="10" width="26.28515625" customWidth="1"/>
  </cols>
  <sheetData>
    <row r="1" spans="1:11" x14ac:dyDescent="0.25">
      <c r="A1" s="144" t="str">
        <f>RIGHT(INDEX(список_листов,ROW()),LEN(INDEX(список_листов,ROW()))-SEARCH("]",INDEX(список_листов,ROW())))</f>
        <v>счет</v>
      </c>
      <c r="B1" t="s">
        <v>459</v>
      </c>
      <c r="C1" s="144" t="str">
        <f>INDEX(список_листов,ROW())</f>
        <v>[лекция2_смакросом.xlsm]счет</v>
      </c>
      <c r="D1" s="1" t="s">
        <v>401</v>
      </c>
    </row>
    <row r="2" spans="1:11" x14ac:dyDescent="0.25">
      <c r="A2" s="144" t="str">
        <f>RIGHT(INDEX(список_листов,ROW()),LEN(INDEX(список_листов,ROW()))-SEARCH("]",INDEX(список_листов,ROW())))</f>
        <v>счет_если</v>
      </c>
      <c r="C2" s="144" t="str">
        <f>INDEX(список_листов,ROW())</f>
        <v>[лекция2_смакросом.xlsm]счет_если</v>
      </c>
    </row>
    <row r="3" spans="1:11" x14ac:dyDescent="0.25">
      <c r="A3" s="144" t="str">
        <f>RIGHT(INDEX(список_листов,ROW()),LEN(INDEX(список_листов,ROW()))-SEARCH("]",INDEX(список_листов,ROW())))</f>
        <v>сумма</v>
      </c>
      <c r="C3" s="144" t="str">
        <f>INDEX(список_листов,ROW())</f>
        <v>[лекция2_смакросом.xlsm]сумма</v>
      </c>
    </row>
    <row r="4" spans="1:11" x14ac:dyDescent="0.25">
      <c r="A4" s="144" t="str">
        <f>RIGHT(INDEX(список_листов,ROW()),LEN(INDEX(список_листов,ROW()))-SEARCH("]",INDEX(список_листов,ROW())))</f>
        <v>текст_ФИО</v>
      </c>
      <c r="C4" s="144" t="str">
        <f>INDEX(список_листов,ROW())</f>
        <v>[лекция2_смакросом.xlsm]текст_ФИО</v>
      </c>
      <c r="E4" s="25" t="s">
        <v>396</v>
      </c>
    </row>
    <row r="5" spans="1:11" x14ac:dyDescent="0.25">
      <c r="A5" s="144" t="str">
        <f>RIGHT(INDEX(список_листов,ROW()),LEN(INDEX(список_листов,ROW()))-SEARCH("]",INDEX(список_листов,ROW())))</f>
        <v>текст</v>
      </c>
      <c r="C5" s="144" t="str">
        <f>INDEX(список_листов,ROW())</f>
        <v>[лекция2_смакросом.xlsm]текст</v>
      </c>
      <c r="E5" t="s">
        <v>395</v>
      </c>
    </row>
    <row r="6" spans="1:11" x14ac:dyDescent="0.25">
      <c r="A6" s="144" t="str">
        <f>RIGHT(INDEX(список_листов,ROW()),LEN(INDEX(список_листов,ROW()))-SEARCH("]",INDEX(список_листов,ROW())))</f>
        <v>текст-формат</v>
      </c>
      <c r="C6" s="144" t="str">
        <f>INDEX(список_листов,ROW())</f>
        <v>[лекция2_смакросом.xlsm]текст-формат</v>
      </c>
    </row>
    <row r="7" spans="1:11" x14ac:dyDescent="0.25">
      <c r="A7" s="144" t="str">
        <f>RIGHT(INDEX(список_листов,ROW()),LEN(INDEX(список_листов,ROW()))-SEARCH("]",INDEX(список_листов,ROW())))</f>
        <v>логические</v>
      </c>
      <c r="C7" s="144" t="str">
        <f>INDEX(список_листов,ROW())</f>
        <v>[лекция2_смакросом.xlsm]логические</v>
      </c>
      <c r="E7" s="235" t="s">
        <v>460</v>
      </c>
    </row>
    <row r="8" spans="1:11" x14ac:dyDescent="0.25">
      <c r="A8" s="144" t="str">
        <f>RIGHT(INDEX(список_листов,ROW()),LEN(INDEX(список_листов,ROW()))-SEARCH("]",INDEX(список_листов,ROW())))</f>
        <v>категория</v>
      </c>
      <c r="C8" s="144" t="str">
        <f>INDEX(список_листов,ROW())</f>
        <v>[лекция2_смакросом.xlsm]категория</v>
      </c>
    </row>
    <row r="9" spans="1:11" x14ac:dyDescent="0.25">
      <c r="A9" s="144" t="str">
        <f>RIGHT(INDEX(список_листов,ROW()),LEN(INDEX(список_листов,ROW()))-SEARCH("]",INDEX(список_листов,ROW())))</f>
        <v>время</v>
      </c>
      <c r="C9" s="144" t="str">
        <f>INDEX(список_листов,ROW())</f>
        <v>[лекция2_смакросом.xlsm]время</v>
      </c>
      <c r="E9" s="25" t="s">
        <v>461</v>
      </c>
    </row>
    <row r="10" spans="1:11" x14ac:dyDescent="0.25">
      <c r="A10" s="144" t="str">
        <f>RIGHT(INDEX(список_листов,ROW()),LEN(INDEX(список_листов,ROW()))-SEARCH("]",INDEX(список_листов,ROW())))</f>
        <v>время_1</v>
      </c>
      <c r="C10" s="144" t="str">
        <f>INDEX(список_листов,ROW())</f>
        <v>[лекция2_смакросом.xlsm]время_1</v>
      </c>
      <c r="G10" t="s">
        <v>398</v>
      </c>
      <c r="H10" s="1" t="s">
        <v>397</v>
      </c>
    </row>
    <row r="11" spans="1:11" x14ac:dyDescent="0.25">
      <c r="A11" s="144" t="str">
        <f>RIGHT(INDEX(список_листов,ROW()),LEN(INDEX(список_листов,ROW()))-SEARCH("]",INDEX(список_листов,ROW())))</f>
        <v>время_2</v>
      </c>
      <c r="C11" s="144" t="str">
        <f>INDEX(список_листов,ROW())</f>
        <v>[лекция2_смакросом.xlsm]время_2</v>
      </c>
      <c r="G11" t="s">
        <v>400</v>
      </c>
      <c r="H11" s="1" t="s">
        <v>399</v>
      </c>
    </row>
    <row r="12" spans="1:11" x14ac:dyDescent="0.25">
      <c r="A12" s="144" t="str">
        <f>RIGHT(INDEX(список_листов,ROW()),LEN(INDEX(список_листов,ROW()))-SEARCH("]",INDEX(список_листов,ROW())))</f>
        <v>поиск</v>
      </c>
      <c r="C12" s="144" t="str">
        <f>INDEX(список_листов,ROW())</f>
        <v>[лекция2_смакросом.xlsm]поиск</v>
      </c>
    </row>
    <row r="13" spans="1:11" x14ac:dyDescent="0.25">
      <c r="A13" s="144" t="str">
        <f>RIGHT(INDEX(список_листов,ROW()),LEN(INDEX(список_листов,ROW()))-SEARCH("]",INDEX(список_листов,ROW())))</f>
        <v>поиск_комб</v>
      </c>
      <c r="C13" s="144" t="str">
        <f>INDEX(список_листов,ROW())</f>
        <v>[лекция2_смакросом.xlsm]поиск_комб</v>
      </c>
      <c r="E13" s="25" t="s">
        <v>462</v>
      </c>
    </row>
    <row r="14" spans="1:11" ht="15" customHeight="1" x14ac:dyDescent="0.25">
      <c r="A14" s="144" t="str">
        <f>RIGHT(INDEX(список_листов,ROW()),LEN(INDEX(список_листов,ROW()))-SEARCH("]",INDEX(список_листов,ROW())))</f>
        <v>листов EX</v>
      </c>
      <c r="C14" s="144" t="str">
        <f>INDEX(список_листов,ROW())</f>
        <v>[лекция2_смакросом.xlsm]листов EX</v>
      </c>
      <c r="F14" s="1" t="s">
        <v>401</v>
      </c>
      <c r="K14" s="94"/>
    </row>
    <row r="15" spans="1:11" x14ac:dyDescent="0.25">
      <c r="A15" s="144" t="str">
        <f>RIGHT(INDEX(список_листов,ROW()),LEN(INDEX(список_листов,ROW()))-SEARCH("]",INDEX(список_листов,ROW())))</f>
        <v>список</v>
      </c>
      <c r="C15" s="144" t="str">
        <f>INDEX(список_листов,ROW())</f>
        <v>[лекция2_смакросом.xlsm]список</v>
      </c>
      <c r="K15" s="94"/>
    </row>
    <row r="16" spans="1:11" x14ac:dyDescent="0.25">
      <c r="A16" s="144" t="str">
        <f>RIGHT(INDEX(список_листов,ROW()),LEN(INDEX(список_листов,ROW()))-SEARCH("]",INDEX(список_листов,ROW())))</f>
        <v>сп_зав</v>
      </c>
      <c r="C16" s="144" t="str">
        <f>INDEX(список_листов,ROW())</f>
        <v>[лекция2_смакросом.xlsm]сп_зав</v>
      </c>
      <c r="F16" s="25" t="s">
        <v>402</v>
      </c>
      <c r="K16" s="94"/>
    </row>
    <row r="17" spans="1:11" x14ac:dyDescent="0.25">
      <c r="A17" s="144" t="str">
        <f>RIGHT(INDEX(список_листов,ROW()),LEN(INDEX(список_листов,ROW()))-SEARCH("]",INDEX(список_листов,ROW())))</f>
        <v>сп_зв</v>
      </c>
      <c r="C17" s="144" t="str">
        <f>INDEX(список_листов,ROW())</f>
        <v>[лекция2_смакросом.xlsm]сп_зв</v>
      </c>
      <c r="F17" s="297" t="s">
        <v>403</v>
      </c>
      <c r="G17" s="297"/>
      <c r="H17" s="297"/>
      <c r="I17" s="297"/>
      <c r="J17" s="297"/>
      <c r="K17" s="94"/>
    </row>
    <row r="18" spans="1:11" x14ac:dyDescent="0.25">
      <c r="A18" s="144" t="str">
        <f>RIGHT(INDEX(список_листов,ROW()),LEN(INDEX(список_листов,ROW()))-SEARCH("]",INDEX(список_листов,ROW())))</f>
        <v>список3</v>
      </c>
      <c r="C18" s="144" t="str">
        <f>INDEX(список_листов,ROW())</f>
        <v>[лекция2_смакросом.xlsm]список3</v>
      </c>
      <c r="F18" s="297"/>
      <c r="G18" s="297"/>
      <c r="H18" s="297"/>
      <c r="I18" s="297"/>
      <c r="J18" s="297"/>
      <c r="K18" s="94"/>
    </row>
    <row r="19" spans="1:11" x14ac:dyDescent="0.25">
      <c r="A19" s="144" t="str">
        <f>RIGHT(INDEX(список_листов,ROW()),LEN(INDEX(список_листов,ROW()))-SEARCH("]",INDEX(список_листов,ROW())))</f>
        <v>сп+сумма</v>
      </c>
      <c r="C19" s="144" t="str">
        <f>INDEX(список_листов,ROW())</f>
        <v>[лекция2_смакросом.xlsm]сп+сумма</v>
      </c>
      <c r="F19" s="297"/>
      <c r="G19" s="297"/>
      <c r="H19" s="297"/>
      <c r="I19" s="297"/>
      <c r="J19" s="297"/>
    </row>
    <row r="20" spans="1:11" x14ac:dyDescent="0.25">
      <c r="A20" s="144" t="str">
        <f>RIGHT(INDEX(список_листов,ROW()),LEN(INDEX(список_листов,ROW()))-SEARCH("]",INDEX(список_листов,ROW())))</f>
        <v>ошибки</v>
      </c>
      <c r="C20" s="144" t="str">
        <f>INDEX(список_листов,ROW())</f>
        <v>[лекция2_смакросом.xlsm]ошибки</v>
      </c>
      <c r="F20" s="94"/>
      <c r="G20" s="94"/>
      <c r="H20" s="94"/>
      <c r="I20" s="94"/>
    </row>
    <row r="21" spans="1:11" x14ac:dyDescent="0.25">
      <c r="A21" s="144" t="str">
        <f>RIGHT(INDEX(список_листов,ROW()),LEN(INDEX(список_листов,ROW()))-SEARCH("]",INDEX(список_листов,ROW())))</f>
        <v>комбо_п_о_сп</v>
      </c>
      <c r="C21" s="144" t="str">
        <f>INDEX(список_листов,ROW())</f>
        <v>[лекция2_смакросом.xlsm]комбо_п_о_сп</v>
      </c>
      <c r="F21" s="94"/>
      <c r="G21" s="94"/>
      <c r="H21" s="94"/>
      <c r="I21" s="94"/>
    </row>
    <row r="22" spans="1:11" x14ac:dyDescent="0.25">
      <c r="A22" s="144" t="e">
        <f>RIGHT(INDEX(список_листов,ROW()),LEN(INDEX(список_листов,ROW()))-SEARCH("]",INDEX(список_листов,ROW())))</f>
        <v>#REF!</v>
      </c>
      <c r="C22" s="144" t="e">
        <f>INDEX(список_листов,ROW())</f>
        <v>#REF!</v>
      </c>
    </row>
    <row r="23" spans="1:11" x14ac:dyDescent="0.25">
      <c r="A23" s="1" t="s">
        <v>394</v>
      </c>
    </row>
    <row r="29" spans="1:11" ht="36" x14ac:dyDescent="0.55000000000000004">
      <c r="C29" s="298" t="s">
        <v>571</v>
      </c>
    </row>
  </sheetData>
  <mergeCells count="1">
    <mergeCell ref="F17:J19"/>
  </mergeCells>
  <hyperlinks>
    <hyperlink ref="C29" r:id="rId1" xr:uid="{54A428E0-B64F-426C-BAF2-DEDE9E1F3318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7DE8-5222-421F-B3C2-35F182A2A96C}">
  <dimension ref="A1:V42"/>
  <sheetViews>
    <sheetView workbookViewId="0">
      <selection activeCell="D23" sqref="D23"/>
    </sheetView>
  </sheetViews>
  <sheetFormatPr defaultRowHeight="15" x14ac:dyDescent="0.25"/>
  <cols>
    <col min="1" max="1" width="11.140625" customWidth="1"/>
    <col min="2" max="2" width="11.85546875" customWidth="1"/>
    <col min="3" max="3" width="11.140625" customWidth="1"/>
    <col min="5" max="5" width="11.140625" customWidth="1"/>
    <col min="15" max="15" width="12.42578125" customWidth="1"/>
  </cols>
  <sheetData>
    <row r="1" spans="1:22" ht="21.75" thickBot="1" x14ac:dyDescent="0.4">
      <c r="A1" s="135" t="s">
        <v>351</v>
      </c>
      <c r="E1" s="236" t="s">
        <v>463</v>
      </c>
      <c r="O1" t="s">
        <v>468</v>
      </c>
    </row>
    <row r="2" spans="1:22" ht="16.5" thickBot="1" x14ac:dyDescent="0.3">
      <c r="A2" s="135" t="s">
        <v>350</v>
      </c>
      <c r="O2" s="238" t="s">
        <v>352</v>
      </c>
    </row>
    <row r="3" spans="1:22" ht="16.5" thickBot="1" x14ac:dyDescent="0.3">
      <c r="A3" s="135" t="s">
        <v>352</v>
      </c>
      <c r="E3">
        <v>1</v>
      </c>
      <c r="F3" t="s">
        <v>464</v>
      </c>
      <c r="O3" s="239" t="s">
        <v>351</v>
      </c>
    </row>
    <row r="4" spans="1:22" ht="16.5" thickBot="1" x14ac:dyDescent="0.3">
      <c r="A4" s="135" t="s">
        <v>470</v>
      </c>
      <c r="E4">
        <v>2</v>
      </c>
      <c r="F4" t="s">
        <v>469</v>
      </c>
      <c r="O4" s="239" t="s">
        <v>350</v>
      </c>
    </row>
    <row r="5" spans="1:22" ht="16.5" thickBot="1" x14ac:dyDescent="0.3">
      <c r="A5" s="135" t="s">
        <v>352</v>
      </c>
      <c r="E5">
        <v>3</v>
      </c>
      <c r="F5" t="s">
        <v>465</v>
      </c>
      <c r="O5" s="239" t="s">
        <v>470</v>
      </c>
    </row>
    <row r="6" spans="1:22" ht="16.5" thickBot="1" x14ac:dyDescent="0.3">
      <c r="A6" s="135" t="s">
        <v>352</v>
      </c>
      <c r="G6" s="53" t="s">
        <v>466</v>
      </c>
      <c r="O6" s="240" t="s">
        <v>471</v>
      </c>
    </row>
    <row r="7" spans="1:22" ht="15.75" thickBot="1" x14ac:dyDescent="0.3">
      <c r="A7" s="135" t="s">
        <v>352</v>
      </c>
      <c r="G7" s="53" t="s">
        <v>472</v>
      </c>
    </row>
    <row r="8" spans="1:22" x14ac:dyDescent="0.25">
      <c r="G8" s="53" t="s">
        <v>467</v>
      </c>
      <c r="N8" s="53"/>
    </row>
    <row r="9" spans="1:22" ht="15" customHeight="1" x14ac:dyDescent="0.25"/>
    <row r="10" spans="1:22" ht="15.75" thickBot="1" x14ac:dyDescent="0.3">
      <c r="A10" s="23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</row>
    <row r="11" spans="1:22" x14ac:dyDescent="0.25">
      <c r="A11" s="189"/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23"/>
    </row>
    <row r="12" spans="1:22" ht="18.75" x14ac:dyDescent="0.25">
      <c r="A12" s="247" t="s">
        <v>475</v>
      </c>
      <c r="B12" s="189"/>
      <c r="C12" s="189"/>
      <c r="D12" s="189"/>
      <c r="E12" s="189"/>
      <c r="F12" s="242" t="s">
        <v>473</v>
      </c>
      <c r="G12" s="189"/>
      <c r="H12" s="189"/>
      <c r="I12" s="189"/>
      <c r="J12" s="189"/>
      <c r="K12" s="189"/>
      <c r="L12" s="189"/>
      <c r="M12" s="189"/>
      <c r="N12" s="189"/>
      <c r="O12" s="189" t="s">
        <v>479</v>
      </c>
      <c r="P12" s="189"/>
      <c r="Q12" s="189"/>
      <c r="R12" s="189"/>
      <c r="S12" s="189"/>
      <c r="T12" s="189"/>
      <c r="U12" s="189"/>
      <c r="V12" s="23"/>
    </row>
    <row r="13" spans="1:22" x14ac:dyDescent="0.25">
      <c r="A13" s="247" t="s">
        <v>476</v>
      </c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243" t="s">
        <v>474</v>
      </c>
      <c r="P13" s="189"/>
      <c r="Q13" s="189"/>
      <c r="R13" s="189"/>
      <c r="S13" s="189"/>
      <c r="T13" s="189"/>
      <c r="U13" s="189"/>
      <c r="V13" s="23"/>
    </row>
    <row r="14" spans="1:22" ht="15.75" x14ac:dyDescent="0.25">
      <c r="A14" s="247" t="s">
        <v>475</v>
      </c>
      <c r="B14" s="189"/>
      <c r="C14" s="189"/>
      <c r="D14" s="244" t="s">
        <v>481</v>
      </c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245" t="s">
        <v>475</v>
      </c>
      <c r="P14" s="189"/>
      <c r="Q14" s="189"/>
      <c r="S14" s="189"/>
      <c r="T14" s="189"/>
      <c r="U14" s="189"/>
      <c r="V14" s="23"/>
    </row>
    <row r="15" spans="1:22" ht="15.75" x14ac:dyDescent="0.25">
      <c r="A15" s="247" t="s">
        <v>476</v>
      </c>
      <c r="B15" s="189"/>
      <c r="C15" s="189"/>
      <c r="E15" s="244" t="s">
        <v>480</v>
      </c>
      <c r="F15" s="189"/>
      <c r="G15" s="189"/>
      <c r="H15" s="189"/>
      <c r="I15" s="189"/>
      <c r="J15" s="189"/>
      <c r="K15" s="189"/>
      <c r="L15" s="189"/>
      <c r="M15" s="189"/>
      <c r="N15" s="189"/>
      <c r="O15" s="245" t="s">
        <v>476</v>
      </c>
      <c r="P15" s="189"/>
      <c r="Q15" s="189"/>
      <c r="S15" s="189"/>
      <c r="T15" s="189"/>
      <c r="U15" s="189"/>
      <c r="V15" s="23"/>
    </row>
    <row r="16" spans="1:22" ht="15.75" x14ac:dyDescent="0.25">
      <c r="A16" s="247"/>
      <c r="B16" s="189"/>
      <c r="C16" s="189"/>
      <c r="E16" s="244" t="s">
        <v>484</v>
      </c>
      <c r="F16" s="189"/>
      <c r="G16" s="189"/>
      <c r="H16" s="189"/>
      <c r="I16" s="189"/>
      <c r="J16" s="189"/>
      <c r="K16" s="189"/>
      <c r="L16" s="189"/>
      <c r="M16" s="189"/>
      <c r="N16" s="189"/>
      <c r="O16" s="245" t="s">
        <v>477</v>
      </c>
      <c r="P16" s="189"/>
      <c r="Q16" s="189"/>
      <c r="S16" s="189"/>
      <c r="T16" s="189"/>
      <c r="U16" s="189"/>
      <c r="V16" s="23"/>
    </row>
    <row r="17" spans="1:22" ht="15.75" x14ac:dyDescent="0.25">
      <c r="A17" s="247"/>
      <c r="B17" s="189"/>
      <c r="C17" s="189"/>
      <c r="D17" s="244" t="s">
        <v>482</v>
      </c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246" t="s">
        <v>478</v>
      </c>
      <c r="P17" s="189"/>
      <c r="Q17" s="189"/>
      <c r="S17" s="189"/>
      <c r="T17" s="189"/>
      <c r="U17" s="189"/>
      <c r="V17" s="23"/>
    </row>
    <row r="18" spans="1:22" x14ac:dyDescent="0.25">
      <c r="A18" s="247"/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S18" s="189"/>
      <c r="T18" s="189"/>
      <c r="U18" s="189"/>
      <c r="V18" s="23"/>
    </row>
    <row r="19" spans="1:22" x14ac:dyDescent="0.25">
      <c r="A19" s="189"/>
      <c r="B19" s="189"/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23"/>
    </row>
    <row r="20" spans="1:22" x14ac:dyDescent="0.25">
      <c r="A20" s="189"/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23"/>
    </row>
    <row r="21" spans="1:22" x14ac:dyDescent="0.25">
      <c r="A21" s="189"/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23"/>
    </row>
    <row r="22" spans="1:22" x14ac:dyDescent="0.25">
      <c r="A22" s="189"/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23"/>
    </row>
    <row r="23" spans="1:22" x14ac:dyDescent="0.25">
      <c r="A23" s="189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23"/>
    </row>
    <row r="24" spans="1:22" x14ac:dyDescent="0.25">
      <c r="A24" s="189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23"/>
    </row>
    <row r="25" spans="1:22" x14ac:dyDescent="0.25">
      <c r="A25" s="189"/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23"/>
    </row>
    <row r="26" spans="1:22" x14ac:dyDescent="0.25">
      <c r="A26" s="189"/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23"/>
    </row>
    <row r="27" spans="1:22" x14ac:dyDescent="0.25">
      <c r="A27" s="189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23"/>
    </row>
    <row r="28" spans="1:22" x14ac:dyDescent="0.25">
      <c r="A28" s="189"/>
      <c r="B28" s="189"/>
      <c r="C28" s="189"/>
      <c r="D28" s="189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23"/>
    </row>
    <row r="29" spans="1:22" x14ac:dyDescent="0.25">
      <c r="A29" s="189"/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189"/>
      <c r="U29" s="189"/>
      <c r="V29" s="23"/>
    </row>
    <row r="30" spans="1:22" x14ac:dyDescent="0.25">
      <c r="A30" s="189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23"/>
    </row>
    <row r="31" spans="1:22" x14ac:dyDescent="0.25">
      <c r="A31" s="189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23"/>
    </row>
    <row r="32" spans="1:22" x14ac:dyDescent="0.25">
      <c r="A32" s="189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23"/>
    </row>
    <row r="33" spans="1:22" x14ac:dyDescent="0.25">
      <c r="A33" s="189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23"/>
    </row>
    <row r="34" spans="1:22" x14ac:dyDescent="0.25">
      <c r="A34" s="189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23"/>
    </row>
    <row r="35" spans="1:22" x14ac:dyDescent="0.25">
      <c r="A35" s="189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23"/>
    </row>
    <row r="36" spans="1:22" x14ac:dyDescent="0.25">
      <c r="A36" s="189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23"/>
    </row>
    <row r="37" spans="1:22" x14ac:dyDescent="0.25">
      <c r="A37" s="189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23"/>
    </row>
    <row r="38" spans="1:22" x14ac:dyDescent="0.25">
      <c r="A38" s="189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23"/>
    </row>
    <row r="39" spans="1:22" x14ac:dyDescent="0.25">
      <c r="A39" s="189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23"/>
    </row>
    <row r="40" spans="1:22" x14ac:dyDescent="0.25">
      <c r="A40" s="189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23"/>
    </row>
    <row r="41" spans="1:22" x14ac:dyDescent="0.25">
      <c r="A41" s="189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23"/>
    </row>
    <row r="42" spans="1:22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</row>
  </sheetData>
  <dataValidations count="4">
    <dataValidation type="list" allowBlank="1" showInputMessage="1" showErrorMessage="1" sqref="K1" xr:uid="{01472B69-B04E-4A00-910F-13D4E987A66C}">
      <formula1>INDIRECT(J1)</formula1>
    </dataValidation>
    <dataValidation type="list" allowBlank="1" showInputMessage="1" showErrorMessage="1" sqref="A12:A18" xr:uid="{90095903-AE3C-4068-A48E-55EAAE8A970B}">
      <formula1>машины</formula1>
    </dataValidation>
    <dataValidation type="list" allowBlank="1" showInputMessage="1" showErrorMessage="1" sqref="J1" xr:uid="{A5D32A00-8467-4912-AE26-EF99812EC539}">
      <formula1>$O$2:$O$3</formula1>
    </dataValidation>
    <dataValidation type="list" allowBlank="1" showInputMessage="1" showErrorMessage="1" sqref="A1:A7" xr:uid="{30B30CC0-282F-4A1F-8BE3-DB43D2D4828D}">
      <formula1>$O$2:$O$6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66C09-85EE-4206-9E44-00DE885CC047}">
  <dimension ref="A1:S37"/>
  <sheetViews>
    <sheetView workbookViewId="0">
      <selection activeCell="B1" sqref="B1"/>
    </sheetView>
  </sheetViews>
  <sheetFormatPr defaultRowHeight="15" x14ac:dyDescent="0.25"/>
  <cols>
    <col min="1" max="2" width="12" customWidth="1"/>
    <col min="3" max="4" width="15.42578125" customWidth="1"/>
  </cols>
  <sheetData>
    <row r="1" spans="1:19" ht="20.25" x14ac:dyDescent="0.3">
      <c r="A1" s="145" t="s">
        <v>302</v>
      </c>
      <c r="B1" s="259" t="s">
        <v>351</v>
      </c>
      <c r="E1" s="248"/>
      <c r="F1" s="251" t="s">
        <v>483</v>
      </c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</row>
    <row r="2" spans="1:19" x14ac:dyDescent="0.25">
      <c r="A2" s="145" t="s">
        <v>302</v>
      </c>
      <c r="B2" s="259" t="s">
        <v>348</v>
      </c>
      <c r="C2" s="1" t="s">
        <v>489</v>
      </c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</row>
    <row r="3" spans="1:19" x14ac:dyDescent="0.25">
      <c r="A3" s="145" t="s">
        <v>302</v>
      </c>
      <c r="B3" s="259" t="s">
        <v>347</v>
      </c>
      <c r="D3" s="248">
        <v>1</v>
      </c>
      <c r="E3" s="248" t="s">
        <v>498</v>
      </c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</row>
    <row r="4" spans="1:19" x14ac:dyDescent="0.25">
      <c r="A4" s="145" t="s">
        <v>303</v>
      </c>
      <c r="B4" s="259" t="s">
        <v>351</v>
      </c>
      <c r="D4" s="248">
        <v>2</v>
      </c>
      <c r="E4" s="248" t="s">
        <v>496</v>
      </c>
      <c r="F4" s="248"/>
      <c r="G4" s="248"/>
      <c r="I4" s="248"/>
      <c r="J4" s="248"/>
      <c r="K4" s="248"/>
      <c r="L4" s="248"/>
      <c r="M4" s="248"/>
      <c r="N4" s="248"/>
      <c r="O4" s="248"/>
      <c r="P4" s="248" t="s">
        <v>485</v>
      </c>
      <c r="Q4" s="248"/>
      <c r="R4" s="248"/>
    </row>
    <row r="5" spans="1:19" x14ac:dyDescent="0.25">
      <c r="A5" s="145" t="s">
        <v>303</v>
      </c>
      <c r="B5" s="259" t="s">
        <v>350</v>
      </c>
      <c r="D5" s="248">
        <v>3</v>
      </c>
      <c r="E5" s="248" t="s">
        <v>495</v>
      </c>
      <c r="F5" s="248"/>
      <c r="G5" s="248"/>
      <c r="H5" s="248"/>
      <c r="I5" s="248"/>
      <c r="J5" s="248"/>
      <c r="K5" s="248"/>
      <c r="L5" s="248"/>
      <c r="M5" s="248"/>
      <c r="N5" s="248"/>
      <c r="O5" s="248" t="s">
        <v>486</v>
      </c>
      <c r="P5" s="252" t="s">
        <v>355</v>
      </c>
      <c r="Q5" s="253" t="s">
        <v>354</v>
      </c>
      <c r="R5" s="248"/>
    </row>
    <row r="6" spans="1:19" x14ac:dyDescent="0.25">
      <c r="A6" s="145" t="s">
        <v>303</v>
      </c>
      <c r="B6" s="259" t="s">
        <v>351</v>
      </c>
      <c r="D6" s="248">
        <v>4</v>
      </c>
      <c r="E6" s="248" t="s">
        <v>487</v>
      </c>
      <c r="F6" s="248"/>
      <c r="G6" s="248"/>
      <c r="H6" s="248"/>
      <c r="I6" s="248"/>
      <c r="J6" s="248"/>
      <c r="K6" s="248"/>
      <c r="L6" s="248"/>
      <c r="M6" s="248"/>
      <c r="N6" s="248"/>
      <c r="O6" s="249" t="s">
        <v>303</v>
      </c>
      <c r="P6" s="254" t="s">
        <v>352</v>
      </c>
      <c r="Q6" s="256" t="s">
        <v>349</v>
      </c>
      <c r="R6" s="248"/>
    </row>
    <row r="7" spans="1:19" x14ac:dyDescent="0.25">
      <c r="A7" s="145" t="s">
        <v>302</v>
      </c>
      <c r="B7" s="259" t="s">
        <v>349</v>
      </c>
      <c r="D7" s="248">
        <v>5</v>
      </c>
      <c r="E7" s="248" t="s">
        <v>492</v>
      </c>
      <c r="G7" s="248"/>
      <c r="H7" s="248"/>
      <c r="I7" s="248"/>
      <c r="J7" s="248"/>
      <c r="K7" s="248"/>
      <c r="L7" s="248"/>
      <c r="M7" s="248"/>
      <c r="N7" s="248"/>
      <c r="O7" s="250" t="s">
        <v>302</v>
      </c>
      <c r="P7" s="255" t="s">
        <v>351</v>
      </c>
      <c r="Q7" s="257" t="s">
        <v>348</v>
      </c>
      <c r="R7" s="248"/>
    </row>
    <row r="8" spans="1:19" x14ac:dyDescent="0.25">
      <c r="A8" s="145" t="s">
        <v>302</v>
      </c>
      <c r="B8" s="259" t="s">
        <v>347</v>
      </c>
      <c r="F8" s="248" t="s">
        <v>491</v>
      </c>
      <c r="G8" s="248"/>
      <c r="H8" s="248"/>
      <c r="I8" s="248"/>
      <c r="J8" s="248"/>
      <c r="K8" s="248"/>
      <c r="L8" s="248"/>
      <c r="M8" s="248"/>
      <c r="N8" s="248"/>
      <c r="O8" s="249"/>
      <c r="P8" s="254" t="s">
        <v>350</v>
      </c>
      <c r="Q8" s="256" t="s">
        <v>347</v>
      </c>
      <c r="R8" s="248"/>
    </row>
    <row r="9" spans="1:19" x14ac:dyDescent="0.25">
      <c r="A9" s="145" t="s">
        <v>303</v>
      </c>
      <c r="B9" s="259" t="s">
        <v>351</v>
      </c>
      <c r="D9" s="248">
        <v>6</v>
      </c>
      <c r="E9" s="248" t="s">
        <v>488</v>
      </c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</row>
    <row r="10" spans="1:19" x14ac:dyDescent="0.25">
      <c r="A10" s="145" t="s">
        <v>303</v>
      </c>
      <c r="B10" s="259" t="s">
        <v>351</v>
      </c>
      <c r="C10" s="248"/>
      <c r="D10" s="248">
        <v>7</v>
      </c>
      <c r="E10" s="248" t="s">
        <v>502</v>
      </c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</row>
    <row r="11" spans="1:19" x14ac:dyDescent="0.25">
      <c r="A11" s="145" t="s">
        <v>303</v>
      </c>
      <c r="B11" s="259" t="s">
        <v>351</v>
      </c>
      <c r="C11" s="248"/>
      <c r="D11" s="248"/>
      <c r="F11" s="248" t="s">
        <v>490</v>
      </c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</row>
    <row r="12" spans="1:19" x14ac:dyDescent="0.25">
      <c r="A12" s="145" t="s">
        <v>303</v>
      </c>
      <c r="B12" s="259" t="s">
        <v>351</v>
      </c>
      <c r="C12" s="248"/>
      <c r="D12" s="248"/>
      <c r="F12" s="248" t="s">
        <v>493</v>
      </c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</row>
    <row r="13" spans="1:19" x14ac:dyDescent="0.25">
      <c r="A13" s="248"/>
      <c r="B13" s="248"/>
      <c r="C13" s="248"/>
      <c r="D13" s="248"/>
      <c r="E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</row>
    <row r="14" spans="1:19" ht="15.75" thickBot="1" x14ac:dyDescent="0.3">
      <c r="A14" s="260"/>
      <c r="B14" s="260"/>
      <c r="C14" s="260"/>
      <c r="D14" s="260"/>
      <c r="E14" s="260"/>
      <c r="F14" s="260"/>
      <c r="G14" s="260"/>
      <c r="H14" s="260"/>
      <c r="I14" s="260"/>
      <c r="J14" s="260"/>
      <c r="K14" s="260"/>
      <c r="L14" s="260"/>
      <c r="M14" s="260"/>
      <c r="N14" s="260"/>
      <c r="O14" s="260"/>
      <c r="P14" s="260"/>
      <c r="Q14" s="260"/>
      <c r="R14" s="260"/>
      <c r="S14" s="237"/>
    </row>
    <row r="15" spans="1:19" x14ac:dyDescent="0.25">
      <c r="A15" s="248"/>
      <c r="B15" s="248"/>
      <c r="C15" s="248"/>
      <c r="D15" s="248"/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</row>
    <row r="16" spans="1:19" ht="18.75" x14ac:dyDescent="0.3">
      <c r="D16" s="248"/>
      <c r="E16" s="261"/>
      <c r="F16" s="248"/>
      <c r="G16" s="248"/>
      <c r="H16" s="248"/>
      <c r="I16" s="248"/>
      <c r="J16" s="248"/>
      <c r="K16" s="248"/>
      <c r="L16" s="248"/>
      <c r="M16" s="248"/>
      <c r="N16" s="248"/>
      <c r="O16" s="288" t="s">
        <v>494</v>
      </c>
      <c r="P16" s="288" t="s">
        <v>353</v>
      </c>
      <c r="Q16" s="248"/>
      <c r="R16" s="248"/>
    </row>
    <row r="17" spans="3:18" x14ac:dyDescent="0.25">
      <c r="C17" s="258"/>
      <c r="G17" s="248"/>
      <c r="H17" s="248"/>
      <c r="I17" s="248"/>
      <c r="J17" s="248"/>
      <c r="K17" s="248"/>
      <c r="L17" s="248"/>
      <c r="M17" s="248"/>
      <c r="N17" s="248"/>
      <c r="O17" s="288" t="s">
        <v>303</v>
      </c>
      <c r="P17" s="288" t="s">
        <v>352</v>
      </c>
      <c r="Q17" s="248"/>
      <c r="R17" s="248"/>
    </row>
    <row r="18" spans="3:18" x14ac:dyDescent="0.25">
      <c r="C18" s="248"/>
      <c r="E18" s="248"/>
      <c r="F18" s="248"/>
      <c r="H18" s="248"/>
      <c r="I18" s="248"/>
      <c r="J18" s="248"/>
      <c r="K18" s="248"/>
      <c r="L18" s="248"/>
      <c r="M18" s="248"/>
      <c r="N18" s="248"/>
      <c r="O18" s="288" t="s">
        <v>303</v>
      </c>
      <c r="P18" s="288" t="s">
        <v>351</v>
      </c>
      <c r="Q18" s="248"/>
      <c r="R18" s="248"/>
    </row>
    <row r="19" spans="3:18" x14ac:dyDescent="0.25">
      <c r="C19" s="248"/>
      <c r="E19" s="248"/>
      <c r="F19" s="248"/>
      <c r="H19" s="248"/>
      <c r="I19" s="248"/>
      <c r="J19" s="248"/>
      <c r="K19" s="248"/>
      <c r="L19" s="248"/>
      <c r="M19" s="248"/>
      <c r="N19" s="248"/>
      <c r="O19" s="288" t="s">
        <v>303</v>
      </c>
      <c r="P19" s="288" t="s">
        <v>350</v>
      </c>
      <c r="Q19" s="248"/>
      <c r="R19" s="248"/>
    </row>
    <row r="20" spans="3:18" x14ac:dyDescent="0.25">
      <c r="C20" s="248"/>
      <c r="E20" s="248"/>
      <c r="F20" s="248"/>
      <c r="H20" s="248"/>
      <c r="I20" s="248"/>
      <c r="J20" s="248"/>
      <c r="K20" s="248"/>
      <c r="L20" s="248"/>
      <c r="M20" s="248"/>
      <c r="N20" s="248"/>
      <c r="O20" s="288" t="s">
        <v>302</v>
      </c>
      <c r="P20" s="288" t="s">
        <v>349</v>
      </c>
      <c r="Q20" s="248"/>
      <c r="R20" s="248"/>
    </row>
    <row r="21" spans="3:18" x14ac:dyDescent="0.25">
      <c r="C21" s="248"/>
      <c r="E21" s="248"/>
      <c r="G21" s="248"/>
      <c r="H21" s="248"/>
      <c r="I21" s="248"/>
      <c r="J21" s="248"/>
      <c r="K21" s="248"/>
      <c r="L21" s="248"/>
      <c r="M21" s="248"/>
      <c r="N21" s="248"/>
      <c r="O21" s="288" t="s">
        <v>302</v>
      </c>
      <c r="P21" s="288" t="s">
        <v>348</v>
      </c>
      <c r="Q21" s="248"/>
      <c r="R21" s="248"/>
    </row>
    <row r="22" spans="3:18" x14ac:dyDescent="0.25">
      <c r="C22" s="248"/>
      <c r="E22" s="248"/>
      <c r="F22" s="248"/>
      <c r="H22" s="248"/>
      <c r="I22" s="248"/>
      <c r="J22" s="248"/>
      <c r="K22" s="248"/>
      <c r="L22" s="248"/>
      <c r="M22" s="248"/>
      <c r="N22" s="248"/>
      <c r="O22" s="288" t="s">
        <v>302</v>
      </c>
      <c r="P22" s="288" t="s">
        <v>347</v>
      </c>
      <c r="Q22" s="248"/>
      <c r="R22" s="248"/>
    </row>
    <row r="23" spans="3:18" x14ac:dyDescent="0.25">
      <c r="C23" s="248"/>
      <c r="D23" s="248"/>
      <c r="G23" s="248"/>
      <c r="H23" s="248"/>
      <c r="I23" s="248"/>
      <c r="J23" s="248"/>
      <c r="K23" s="248"/>
      <c r="L23" s="248"/>
      <c r="M23" s="248"/>
      <c r="N23" s="248"/>
      <c r="O23" s="288" t="s">
        <v>345</v>
      </c>
      <c r="P23" s="288" t="s">
        <v>346</v>
      </c>
      <c r="Q23" s="248"/>
      <c r="R23" s="248"/>
    </row>
    <row r="24" spans="3:18" x14ac:dyDescent="0.25">
      <c r="C24" s="248"/>
      <c r="D24" s="248"/>
      <c r="H24" s="248"/>
      <c r="I24" s="248"/>
      <c r="K24" s="248"/>
      <c r="L24" s="248"/>
      <c r="M24" s="248"/>
      <c r="N24" s="248"/>
      <c r="O24" s="288" t="s">
        <v>345</v>
      </c>
      <c r="P24" s="288" t="s">
        <v>344</v>
      </c>
      <c r="Q24" s="248"/>
      <c r="R24" s="248"/>
    </row>
    <row r="25" spans="3:18" x14ac:dyDescent="0.25">
      <c r="C25" s="248"/>
      <c r="D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</row>
    <row r="26" spans="3:18" ht="15.75" x14ac:dyDescent="0.25">
      <c r="C26" s="248"/>
      <c r="D26" s="248"/>
      <c r="E26" s="267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</row>
    <row r="27" spans="3:18" ht="15.75" x14ac:dyDescent="0.25">
      <c r="C27" s="248"/>
      <c r="D27" s="248"/>
      <c r="E27" s="267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</row>
    <row r="28" spans="3:18" ht="15.75" x14ac:dyDescent="0.25">
      <c r="E28" s="58"/>
    </row>
    <row r="29" spans="3:18" ht="15.75" x14ac:dyDescent="0.25">
      <c r="E29" s="241"/>
    </row>
    <row r="30" spans="3:18" ht="15.75" x14ac:dyDescent="0.25">
      <c r="E30" s="241"/>
    </row>
    <row r="31" spans="3:18" x14ac:dyDescent="0.25">
      <c r="E31" s="265"/>
    </row>
    <row r="32" spans="3:18" x14ac:dyDescent="0.25">
      <c r="E32" s="265"/>
    </row>
    <row r="33" spans="5:5" ht="15.75" x14ac:dyDescent="0.25">
      <c r="E33" s="241"/>
    </row>
    <row r="34" spans="5:5" x14ac:dyDescent="0.25">
      <c r="E34" s="266"/>
    </row>
    <row r="37" spans="5:5" ht="15.75" x14ac:dyDescent="0.25">
      <c r="E37" s="267"/>
    </row>
  </sheetData>
  <dataValidations count="4">
    <dataValidation type="list" allowBlank="1" showInputMessage="1" showErrorMessage="1" sqref="A17:A25" xr:uid="{5CC95262-E021-4759-83F0-7F08B38D868E}">
      <formula1>СписокКатегорий</formula1>
    </dataValidation>
    <dataValidation type="list" allowBlank="1" showInputMessage="1" showErrorMessage="1" sqref="A1:A12" xr:uid="{075F1D33-27BD-451B-B4E2-C80FF2139836}">
      <formula1>$O$6:$O$7</formula1>
    </dataValidation>
    <dataValidation type="list" allowBlank="1" showInputMessage="1" showErrorMessage="1" sqref="B1:B12" xr:uid="{21EE9A27-DBB3-4C01-BB01-D32E5C6E21AD}">
      <formula1>INDIRECT(A1)</formula1>
    </dataValidation>
    <dataValidation type="list" allowBlank="1" showInputMessage="1" showErrorMessage="1" sqref="B17:B25" xr:uid="{A7C1AB86-6B65-4348-B164-4374EA657128}">
      <formula1>OFFSET($P$16,MATCH($C$16,$O:$O,0)-1,,COUNTIF($O:$AO,$C$16),1)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5CFB-3003-405A-8BC0-7E93A4D8B907}">
  <dimension ref="A1:M21"/>
  <sheetViews>
    <sheetView workbookViewId="0">
      <selection activeCell="C1" sqref="C1"/>
    </sheetView>
  </sheetViews>
  <sheetFormatPr defaultRowHeight="15" x14ac:dyDescent="0.25"/>
  <sheetData>
    <row r="1" spans="1:13" ht="38.25" x14ac:dyDescent="0.3">
      <c r="A1" s="262" t="s">
        <v>494</v>
      </c>
      <c r="B1" s="122" t="s">
        <v>353</v>
      </c>
      <c r="C1" s="145" t="s">
        <v>303</v>
      </c>
      <c r="D1" s="259" t="s">
        <v>350</v>
      </c>
      <c r="G1" s="261" t="s">
        <v>497</v>
      </c>
      <c r="H1" s="248"/>
      <c r="I1" s="248"/>
      <c r="J1" s="248"/>
      <c r="K1" s="248"/>
      <c r="L1" s="248"/>
      <c r="M1" s="248"/>
    </row>
    <row r="2" spans="1:13" x14ac:dyDescent="0.25">
      <c r="A2" s="263" t="s">
        <v>303</v>
      </c>
      <c r="B2" s="249" t="s">
        <v>352</v>
      </c>
      <c r="I2" s="248"/>
      <c r="J2" s="248"/>
      <c r="K2" s="248"/>
      <c r="L2" s="248"/>
      <c r="M2" s="248"/>
    </row>
    <row r="3" spans="1:13" x14ac:dyDescent="0.25">
      <c r="A3" s="264" t="s">
        <v>303</v>
      </c>
      <c r="B3" s="250" t="s">
        <v>351</v>
      </c>
      <c r="G3" s="248">
        <v>1</v>
      </c>
      <c r="H3" s="248" t="s">
        <v>464</v>
      </c>
      <c r="J3" s="248"/>
      <c r="K3" s="248"/>
      <c r="L3" s="248"/>
      <c r="M3" s="248"/>
    </row>
    <row r="4" spans="1:13" x14ac:dyDescent="0.25">
      <c r="A4" s="263" t="s">
        <v>303</v>
      </c>
      <c r="B4" s="249" t="s">
        <v>350</v>
      </c>
      <c r="G4" s="248">
        <v>2</v>
      </c>
      <c r="H4" s="248" t="s">
        <v>499</v>
      </c>
      <c r="J4" s="248"/>
      <c r="K4" s="248"/>
      <c r="L4" s="248"/>
      <c r="M4" s="248"/>
    </row>
    <row r="5" spans="1:13" x14ac:dyDescent="0.25">
      <c r="A5" s="264" t="s">
        <v>302</v>
      </c>
      <c r="B5" s="250" t="s">
        <v>349</v>
      </c>
      <c r="D5" t="s">
        <v>513</v>
      </c>
      <c r="G5" s="248">
        <v>3</v>
      </c>
      <c r="H5" s="248" t="s">
        <v>492</v>
      </c>
      <c r="J5" s="248"/>
      <c r="K5" s="248"/>
      <c r="L5" s="248"/>
      <c r="M5" s="248"/>
    </row>
    <row r="6" spans="1:13" x14ac:dyDescent="0.25">
      <c r="A6" s="263" t="s">
        <v>302</v>
      </c>
      <c r="B6" s="249" t="s">
        <v>348</v>
      </c>
      <c r="G6" s="248"/>
      <c r="I6" s="248" t="s">
        <v>500</v>
      </c>
      <c r="J6" s="248"/>
      <c r="K6" s="248"/>
      <c r="L6" s="248"/>
      <c r="M6" s="248"/>
    </row>
    <row r="7" spans="1:13" x14ac:dyDescent="0.25">
      <c r="A7" s="264" t="s">
        <v>302</v>
      </c>
      <c r="B7" s="250" t="s">
        <v>347</v>
      </c>
      <c r="G7" s="248">
        <v>4</v>
      </c>
      <c r="H7" s="248" t="s">
        <v>505</v>
      </c>
      <c r="J7" s="248"/>
      <c r="K7" s="248"/>
      <c r="L7" s="248"/>
      <c r="M7" s="248"/>
    </row>
    <row r="8" spans="1:13" x14ac:dyDescent="0.25">
      <c r="A8" s="263" t="s">
        <v>345</v>
      </c>
      <c r="B8" s="249" t="s">
        <v>346</v>
      </c>
      <c r="H8" s="248" t="s">
        <v>502</v>
      </c>
      <c r="J8" s="248"/>
      <c r="K8" s="248"/>
      <c r="L8" s="248"/>
      <c r="M8" s="248"/>
    </row>
    <row r="9" spans="1:13" x14ac:dyDescent="0.25">
      <c r="A9" s="264" t="s">
        <v>345</v>
      </c>
      <c r="B9" s="250" t="s">
        <v>344</v>
      </c>
      <c r="I9" s="248" t="s">
        <v>490</v>
      </c>
      <c r="J9" s="248"/>
      <c r="K9" s="248"/>
      <c r="M9" s="248"/>
    </row>
    <row r="10" spans="1:13" x14ac:dyDescent="0.25">
      <c r="I10" t="s">
        <v>501</v>
      </c>
      <c r="J10" s="248"/>
      <c r="K10" s="248"/>
      <c r="L10" s="248"/>
      <c r="M10" s="248"/>
    </row>
    <row r="12" spans="1:13" ht="15.75" x14ac:dyDescent="0.25">
      <c r="J12" s="58" t="s">
        <v>503</v>
      </c>
    </row>
    <row r="13" spans="1:13" ht="15.75" x14ac:dyDescent="0.25">
      <c r="B13" s="267" t="s">
        <v>504</v>
      </c>
      <c r="K13" s="268" t="s">
        <v>509</v>
      </c>
    </row>
    <row r="14" spans="1:13" x14ac:dyDescent="0.25">
      <c r="K14" s="269" t="s">
        <v>508</v>
      </c>
    </row>
    <row r="15" spans="1:13" x14ac:dyDescent="0.25">
      <c r="K15" t="s">
        <v>506</v>
      </c>
    </row>
    <row r="16" spans="1:13" x14ac:dyDescent="0.25">
      <c r="K16" t="s">
        <v>507</v>
      </c>
    </row>
    <row r="17" spans="8:11" ht="15.75" x14ac:dyDescent="0.25">
      <c r="H17" s="241"/>
      <c r="K17" s="268" t="s">
        <v>510</v>
      </c>
    </row>
    <row r="18" spans="8:11" x14ac:dyDescent="0.25">
      <c r="K18" t="s">
        <v>511</v>
      </c>
    </row>
    <row r="19" spans="8:11" ht="15.75" x14ac:dyDescent="0.25">
      <c r="H19" s="265"/>
      <c r="K19" s="266" t="s">
        <v>512</v>
      </c>
    </row>
    <row r="20" spans="8:11" x14ac:dyDescent="0.25">
      <c r="H20" s="265"/>
    </row>
    <row r="21" spans="8:11" ht="15.75" x14ac:dyDescent="0.25">
      <c r="H21" s="241"/>
    </row>
  </sheetData>
  <dataValidations count="2">
    <dataValidation type="list" allowBlank="1" showInputMessage="1" showErrorMessage="1" sqref="C1" xr:uid="{F5DD97BB-EE62-43B7-BB09-4FA7678900AC}">
      <formula1>СписокКатегорий</formula1>
    </dataValidation>
    <dataValidation type="list" allowBlank="1" showInputMessage="1" showErrorMessage="1" sqref="D1" xr:uid="{1C9A7C46-0998-4474-8C88-99AAC694075A}">
      <formula1>OFFSET($B$1,MATCH($C$1,$A:$A,0)-1,,COUNTIF($A:$A,$C$1),1)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48F0-7FD9-4D90-A400-8CD54D542A74}">
  <dimension ref="A1:Q25"/>
  <sheetViews>
    <sheetView workbookViewId="0">
      <selection activeCell="P20" sqref="P20"/>
    </sheetView>
  </sheetViews>
  <sheetFormatPr defaultRowHeight="15" x14ac:dyDescent="0.25"/>
  <cols>
    <col min="3" max="4" width="14.5703125" customWidth="1"/>
    <col min="7" max="7" width="14.28515625" customWidth="1"/>
    <col min="9" max="9" width="4.5703125" customWidth="1"/>
  </cols>
  <sheetData>
    <row r="1" spans="1:16" ht="23.25" x14ac:dyDescent="0.35">
      <c r="A1" s="128" t="s">
        <v>388</v>
      </c>
      <c r="B1" s="128" t="s">
        <v>387</v>
      </c>
      <c r="C1" s="128" t="s">
        <v>21</v>
      </c>
      <c r="D1" s="128" t="s">
        <v>386</v>
      </c>
      <c r="E1" s="124"/>
      <c r="F1" s="121"/>
      <c r="G1" s="121"/>
      <c r="I1" s="134" t="s">
        <v>514</v>
      </c>
    </row>
    <row r="2" spans="1:16" ht="15.75" x14ac:dyDescent="0.25">
      <c r="A2" s="126" t="s">
        <v>382</v>
      </c>
      <c r="B2" s="127" t="s">
        <v>385</v>
      </c>
      <c r="C2" s="125" t="s">
        <v>26</v>
      </c>
      <c r="D2" s="6" t="s">
        <v>32</v>
      </c>
      <c r="E2" s="270" t="s">
        <v>382</v>
      </c>
      <c r="F2" s="271" t="s">
        <v>385</v>
      </c>
      <c r="G2" s="272" t="s">
        <v>381</v>
      </c>
      <c r="I2" s="23"/>
      <c r="J2" s="23"/>
      <c r="K2" s="23"/>
      <c r="L2" s="23"/>
      <c r="M2" s="23"/>
      <c r="N2" s="23"/>
      <c r="O2" s="23"/>
      <c r="P2" s="23"/>
    </row>
    <row r="3" spans="1:16" ht="15.75" x14ac:dyDescent="0.25">
      <c r="A3" s="126" t="s">
        <v>382</v>
      </c>
      <c r="B3" s="126" t="s">
        <v>385</v>
      </c>
      <c r="C3" s="125" t="s">
        <v>384</v>
      </c>
      <c r="D3" s="6" t="s">
        <v>32</v>
      </c>
      <c r="E3" s="270" t="s">
        <v>376</v>
      </c>
      <c r="F3" s="271" t="s">
        <v>375</v>
      </c>
      <c r="G3" s="272" t="s">
        <v>377</v>
      </c>
      <c r="I3" s="23">
        <v>1</v>
      </c>
      <c r="J3" s="23" t="s">
        <v>515</v>
      </c>
      <c r="K3" s="23"/>
      <c r="L3" s="23"/>
      <c r="M3" s="23"/>
      <c r="N3" s="23"/>
      <c r="O3" s="23"/>
      <c r="P3" s="23"/>
    </row>
    <row r="4" spans="1:16" ht="15.75" x14ac:dyDescent="0.25">
      <c r="A4" s="126" t="s">
        <v>382</v>
      </c>
      <c r="B4" s="126" t="s">
        <v>28</v>
      </c>
      <c r="C4" s="125" t="s">
        <v>383</v>
      </c>
      <c r="D4" s="7" t="s">
        <v>33</v>
      </c>
      <c r="E4" s="270" t="s">
        <v>369</v>
      </c>
      <c r="F4" s="271" t="s">
        <v>371</v>
      </c>
      <c r="G4" s="272" t="s">
        <v>370</v>
      </c>
      <c r="I4" s="23">
        <v>2</v>
      </c>
      <c r="J4" s="273" t="s">
        <v>519</v>
      </c>
      <c r="K4" s="23"/>
      <c r="L4" s="23"/>
      <c r="M4" s="23"/>
      <c r="N4" s="23"/>
      <c r="O4" s="23"/>
      <c r="P4" s="23"/>
    </row>
    <row r="5" spans="1:16" ht="15.75" x14ac:dyDescent="0.25">
      <c r="A5" s="126" t="s">
        <v>382</v>
      </c>
      <c r="B5" s="126" t="s">
        <v>28</v>
      </c>
      <c r="C5" s="125" t="s">
        <v>381</v>
      </c>
      <c r="D5" s="7" t="s">
        <v>33</v>
      </c>
      <c r="E5" s="270" t="s">
        <v>369</v>
      </c>
      <c r="F5" s="271" t="s">
        <v>368</v>
      </c>
      <c r="G5" s="272" t="s">
        <v>367</v>
      </c>
      <c r="I5" s="23"/>
      <c r="K5" s="274" t="s">
        <v>526</v>
      </c>
      <c r="L5" s="23"/>
      <c r="M5" s="23"/>
      <c r="N5" s="23"/>
      <c r="O5" s="23"/>
      <c r="P5" s="23"/>
    </row>
    <row r="6" spans="1:16" ht="15.75" x14ac:dyDescent="0.25">
      <c r="A6" s="126" t="s">
        <v>376</v>
      </c>
      <c r="B6" s="126" t="s">
        <v>379</v>
      </c>
      <c r="C6" s="125" t="s">
        <v>380</v>
      </c>
      <c r="D6" s="6" t="s">
        <v>34</v>
      </c>
      <c r="E6" s="270" t="s">
        <v>382</v>
      </c>
      <c r="F6" s="271" t="s">
        <v>385</v>
      </c>
      <c r="G6" s="272" t="s">
        <v>26</v>
      </c>
      <c r="I6" s="23"/>
      <c r="K6" s="274" t="s">
        <v>525</v>
      </c>
      <c r="L6" s="23"/>
      <c r="M6" s="23"/>
      <c r="N6" s="23"/>
      <c r="O6" s="23"/>
      <c r="P6" s="23"/>
    </row>
    <row r="7" spans="1:16" ht="15.75" x14ac:dyDescent="0.25">
      <c r="A7" s="126" t="s">
        <v>376</v>
      </c>
      <c r="B7" s="126" t="s">
        <v>379</v>
      </c>
      <c r="C7" s="125" t="s">
        <v>378</v>
      </c>
      <c r="D7" s="6" t="s">
        <v>34</v>
      </c>
      <c r="E7" s="270" t="s">
        <v>369</v>
      </c>
      <c r="F7" s="271" t="s">
        <v>368</v>
      </c>
      <c r="G7" s="272" t="s">
        <v>367</v>
      </c>
      <c r="I7" s="23">
        <v>3</v>
      </c>
      <c r="J7" s="273" t="s">
        <v>520</v>
      </c>
      <c r="K7" s="23"/>
      <c r="L7" s="23"/>
      <c r="M7" s="23"/>
      <c r="N7" s="23"/>
      <c r="O7" s="23"/>
      <c r="P7" s="23"/>
    </row>
    <row r="8" spans="1:16" ht="15.75" x14ac:dyDescent="0.25">
      <c r="A8" s="126" t="s">
        <v>376</v>
      </c>
      <c r="B8" s="126" t="s">
        <v>375</v>
      </c>
      <c r="C8" s="125" t="s">
        <v>377</v>
      </c>
      <c r="D8" s="7" t="s">
        <v>36</v>
      </c>
      <c r="E8" s="270" t="s">
        <v>369</v>
      </c>
      <c r="F8" s="271" t="s">
        <v>368</v>
      </c>
      <c r="G8" s="272" t="s">
        <v>367</v>
      </c>
      <c r="I8" s="23"/>
      <c r="K8" s="274" t="s">
        <v>527</v>
      </c>
      <c r="L8" s="23"/>
      <c r="M8" s="23"/>
      <c r="N8" s="23"/>
      <c r="O8" s="23"/>
      <c r="P8" s="23"/>
    </row>
    <row r="9" spans="1:16" ht="15.75" x14ac:dyDescent="0.25">
      <c r="A9" s="126" t="s">
        <v>376</v>
      </c>
      <c r="B9" s="126" t="s">
        <v>375</v>
      </c>
      <c r="C9" s="125" t="s">
        <v>374</v>
      </c>
      <c r="D9" s="7" t="s">
        <v>36</v>
      </c>
      <c r="E9" s="270" t="s">
        <v>369</v>
      </c>
      <c r="F9" s="271" t="s">
        <v>368</v>
      </c>
      <c r="G9" s="272" t="s">
        <v>367</v>
      </c>
      <c r="I9" s="23"/>
      <c r="K9" s="274" t="s">
        <v>524</v>
      </c>
      <c r="L9" s="23"/>
      <c r="M9" s="23"/>
      <c r="N9" s="23"/>
      <c r="O9" s="23"/>
      <c r="P9" s="23"/>
    </row>
    <row r="10" spans="1:16" ht="15.75" x14ac:dyDescent="0.25">
      <c r="A10" s="126" t="s">
        <v>369</v>
      </c>
      <c r="B10" s="126" t="s">
        <v>368</v>
      </c>
      <c r="C10" s="125" t="s">
        <v>367</v>
      </c>
      <c r="D10" s="6" t="s">
        <v>37</v>
      </c>
      <c r="E10" s="270" t="s">
        <v>369</v>
      </c>
      <c r="F10" s="271" t="s">
        <v>368</v>
      </c>
      <c r="G10" s="272" t="s">
        <v>367</v>
      </c>
      <c r="I10" s="23">
        <v>4</v>
      </c>
      <c r="J10" s="273" t="s">
        <v>521</v>
      </c>
      <c r="K10" s="23"/>
      <c r="L10" s="23"/>
      <c r="M10" s="23"/>
      <c r="N10" s="23"/>
      <c r="O10" s="23"/>
      <c r="P10" s="23"/>
    </row>
    <row r="11" spans="1:16" ht="15.75" x14ac:dyDescent="0.25">
      <c r="A11" s="126" t="s">
        <v>369</v>
      </c>
      <c r="B11" s="126" t="s">
        <v>368</v>
      </c>
      <c r="C11" s="125" t="s">
        <v>373</v>
      </c>
      <c r="D11" s="6" t="s">
        <v>37</v>
      </c>
      <c r="E11" s="270" t="s">
        <v>369</v>
      </c>
      <c r="F11" s="271" t="s">
        <v>368</v>
      </c>
      <c r="G11" s="272" t="s">
        <v>367</v>
      </c>
      <c r="I11" s="23"/>
      <c r="K11" s="274" t="s">
        <v>528</v>
      </c>
      <c r="L11" s="23"/>
      <c r="M11" s="23"/>
      <c r="N11" s="23"/>
      <c r="O11" s="23"/>
      <c r="P11" s="23"/>
    </row>
    <row r="12" spans="1:16" ht="15.75" x14ac:dyDescent="0.25">
      <c r="A12" s="126" t="s">
        <v>369</v>
      </c>
      <c r="B12" s="126" t="s">
        <v>371</v>
      </c>
      <c r="C12" s="125" t="s">
        <v>372</v>
      </c>
      <c r="D12" s="66" t="s">
        <v>204</v>
      </c>
      <c r="E12" s="270" t="s">
        <v>369</v>
      </c>
      <c r="F12" s="271" t="s">
        <v>368</v>
      </c>
      <c r="G12" s="272" t="s">
        <v>367</v>
      </c>
      <c r="I12" s="23"/>
      <c r="K12" s="274" t="s">
        <v>523</v>
      </c>
      <c r="L12" s="23"/>
      <c r="M12" s="23"/>
      <c r="N12" s="23"/>
      <c r="O12" s="23"/>
      <c r="P12" s="23"/>
    </row>
    <row r="13" spans="1:16" ht="15.75" x14ac:dyDescent="0.25">
      <c r="A13" s="126" t="s">
        <v>369</v>
      </c>
      <c r="B13" s="126" t="s">
        <v>371</v>
      </c>
      <c r="C13" s="125" t="s">
        <v>370</v>
      </c>
      <c r="D13" s="66" t="s">
        <v>204</v>
      </c>
      <c r="E13" s="270" t="s">
        <v>369</v>
      </c>
      <c r="F13" s="271" t="s">
        <v>368</v>
      </c>
      <c r="G13" s="272" t="s">
        <v>367</v>
      </c>
      <c r="L13" s="23"/>
      <c r="M13" s="23"/>
      <c r="N13" s="23"/>
      <c r="O13" s="23"/>
      <c r="P13" s="23"/>
    </row>
    <row r="14" spans="1:16" x14ac:dyDescent="0.25">
      <c r="E14" s="1" t="s">
        <v>517</v>
      </c>
      <c r="L14" s="23"/>
      <c r="M14" s="23"/>
      <c r="N14" s="23"/>
      <c r="O14" s="23"/>
      <c r="P14" s="23"/>
    </row>
    <row r="15" spans="1:16" x14ac:dyDescent="0.25">
      <c r="A15" s="123" t="s">
        <v>366</v>
      </c>
      <c r="F15" s="1" t="s">
        <v>516</v>
      </c>
      <c r="L15" s="274" t="s">
        <v>522</v>
      </c>
      <c r="M15" s="23"/>
      <c r="N15" s="23"/>
      <c r="O15" s="23"/>
      <c r="P15" s="23"/>
    </row>
    <row r="16" spans="1:16" x14ac:dyDescent="0.25">
      <c r="A16" t="s">
        <v>365</v>
      </c>
      <c r="E16" s="1"/>
      <c r="G16" s="1" t="s">
        <v>518</v>
      </c>
      <c r="L16" s="23"/>
      <c r="M16" s="23"/>
      <c r="N16" s="23"/>
      <c r="O16" s="23"/>
      <c r="P16" s="23"/>
    </row>
    <row r="17" spans="2:17" x14ac:dyDescent="0.25">
      <c r="B17" t="s">
        <v>364</v>
      </c>
      <c r="F17" s="1"/>
      <c r="L17" s="23"/>
      <c r="M17" s="23"/>
      <c r="N17" s="23"/>
      <c r="O17" s="23"/>
      <c r="P17" s="23"/>
    </row>
    <row r="18" spans="2:17" x14ac:dyDescent="0.25">
      <c r="B18" t="s">
        <v>363</v>
      </c>
      <c r="L18" s="23"/>
      <c r="M18" s="23"/>
      <c r="N18" s="23"/>
      <c r="O18" s="23"/>
      <c r="P18" s="23"/>
    </row>
    <row r="19" spans="2:17" x14ac:dyDescent="0.25">
      <c r="B19" t="s">
        <v>362</v>
      </c>
      <c r="L19" s="23"/>
      <c r="M19" s="23"/>
      <c r="N19" s="23"/>
      <c r="O19" s="23"/>
      <c r="P19" s="23"/>
    </row>
    <row r="20" spans="2:17" x14ac:dyDescent="0.25">
      <c r="C20" t="s">
        <v>361</v>
      </c>
      <c r="E20" s="1"/>
      <c r="I20" s="23"/>
      <c r="J20" s="23"/>
      <c r="K20" s="23"/>
      <c r="L20" s="23"/>
      <c r="M20" s="23"/>
      <c r="N20" s="23"/>
      <c r="O20" s="23"/>
      <c r="P20" s="23"/>
    </row>
    <row r="21" spans="2:17" x14ac:dyDescent="0.25">
      <c r="C21" t="s">
        <v>360</v>
      </c>
      <c r="J21" s="23"/>
      <c r="K21" s="23"/>
      <c r="L21" s="23"/>
      <c r="M21" s="23"/>
      <c r="N21" s="23"/>
      <c r="O21" s="23"/>
      <c r="P21" s="23"/>
      <c r="Q21" s="23"/>
    </row>
    <row r="22" spans="2:17" x14ac:dyDescent="0.25">
      <c r="C22" t="s">
        <v>359</v>
      </c>
    </row>
    <row r="23" spans="2:17" x14ac:dyDescent="0.25">
      <c r="C23" t="s">
        <v>358</v>
      </c>
    </row>
    <row r="24" spans="2:17" x14ac:dyDescent="0.25">
      <c r="C24" t="s">
        <v>357</v>
      </c>
    </row>
    <row r="25" spans="2:17" x14ac:dyDescent="0.25">
      <c r="C25" t="s">
        <v>356</v>
      </c>
    </row>
  </sheetData>
  <dataValidations count="3">
    <dataValidation type="list" allowBlank="1" showInputMessage="1" showErrorMessage="1" sqref="G1:G13" xr:uid="{2DC100DC-4B07-4B05-BE4F-58BEC9246A67}">
      <formula1>INDIRECT(E1&amp;"_"&amp;F1)</formula1>
    </dataValidation>
    <dataValidation type="list" allowBlank="1" showInputMessage="1" showErrorMessage="1" sqref="E1:E13" xr:uid="{ED68FF57-EF88-4170-92A1-C925F98207BD}">
      <formula1>Континент</formula1>
    </dataValidation>
    <dataValidation type="list" allowBlank="1" showInputMessage="1" showErrorMessage="1" sqref="F1:F13" xr:uid="{6031BF3D-34E7-4A90-9D24-CC8A7A76048E}">
      <formula1>INDIRECT(E1)</formula1>
    </dataValidation>
  </dataValidation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9207-A2BF-4369-A7F3-6C82D0476B4F}">
  <dimension ref="A1:O15"/>
  <sheetViews>
    <sheetView workbookViewId="0">
      <selection activeCell="D1" sqref="D1"/>
    </sheetView>
  </sheetViews>
  <sheetFormatPr defaultRowHeight="15" x14ac:dyDescent="0.25"/>
  <cols>
    <col min="1" max="2" width="17" customWidth="1"/>
    <col min="15" max="15" width="12.28515625" customWidth="1"/>
  </cols>
  <sheetData>
    <row r="1" spans="1:15" ht="18.75" x14ac:dyDescent="0.3">
      <c r="A1" s="132" t="s">
        <v>390</v>
      </c>
      <c r="B1" s="133" t="s">
        <v>251</v>
      </c>
      <c r="F1" s="52" t="s">
        <v>529</v>
      </c>
      <c r="O1" t="s">
        <v>390</v>
      </c>
    </row>
    <row r="2" spans="1:15" ht="15.75" x14ac:dyDescent="0.25">
      <c r="A2" s="131" t="s">
        <v>389</v>
      </c>
      <c r="B2" s="130">
        <v>50</v>
      </c>
      <c r="F2" s="185" t="s">
        <v>530</v>
      </c>
      <c r="O2" s="2" t="s">
        <v>389</v>
      </c>
    </row>
    <row r="3" spans="1:15" x14ac:dyDescent="0.25">
      <c r="A3" s="131" t="s">
        <v>393</v>
      </c>
      <c r="B3" s="130">
        <v>20</v>
      </c>
      <c r="O3" s="2" t="s">
        <v>393</v>
      </c>
    </row>
    <row r="4" spans="1:15" x14ac:dyDescent="0.25">
      <c r="A4" s="131" t="s">
        <v>392</v>
      </c>
      <c r="B4" s="130">
        <v>60</v>
      </c>
      <c r="E4">
        <v>1</v>
      </c>
      <c r="F4" t="s">
        <v>533</v>
      </c>
      <c r="O4" s="2" t="s">
        <v>392</v>
      </c>
    </row>
    <row r="5" spans="1:15" x14ac:dyDescent="0.25">
      <c r="A5" s="131" t="s">
        <v>391</v>
      </c>
      <c r="B5" s="130">
        <v>40</v>
      </c>
      <c r="F5" s="1" t="s">
        <v>532</v>
      </c>
      <c r="O5" s="2" t="s">
        <v>391</v>
      </c>
    </row>
    <row r="6" spans="1:15" x14ac:dyDescent="0.25">
      <c r="A6" s="131" t="s">
        <v>389</v>
      </c>
      <c r="B6" s="130">
        <v>50</v>
      </c>
      <c r="E6">
        <v>2</v>
      </c>
      <c r="F6" t="s">
        <v>534</v>
      </c>
    </row>
    <row r="7" spans="1:15" x14ac:dyDescent="0.25">
      <c r="A7" s="131" t="s">
        <v>393</v>
      </c>
      <c r="B7" s="130">
        <v>20</v>
      </c>
      <c r="E7">
        <v>3</v>
      </c>
      <c r="F7" t="s">
        <v>535</v>
      </c>
    </row>
    <row r="8" spans="1:15" x14ac:dyDescent="0.25">
      <c r="A8" s="131" t="s">
        <v>392</v>
      </c>
      <c r="B8" s="130">
        <v>60</v>
      </c>
    </row>
    <row r="9" spans="1:15" x14ac:dyDescent="0.25">
      <c r="A9" s="131" t="s">
        <v>391</v>
      </c>
      <c r="B9" s="130">
        <v>40</v>
      </c>
    </row>
    <row r="10" spans="1:15" ht="15.75" x14ac:dyDescent="0.25">
      <c r="A10" s="131" t="s">
        <v>389</v>
      </c>
      <c r="B10" s="130">
        <v>50</v>
      </c>
      <c r="E10" s="267" t="s">
        <v>532</v>
      </c>
    </row>
    <row r="11" spans="1:15" ht="15.75" x14ac:dyDescent="0.25">
      <c r="A11" s="131" t="s">
        <v>393</v>
      </c>
      <c r="B11" s="130">
        <v>20</v>
      </c>
      <c r="E11" s="267" t="s">
        <v>531</v>
      </c>
    </row>
    <row r="12" spans="1:15" ht="15.75" x14ac:dyDescent="0.25">
      <c r="A12" s="131" t="s">
        <v>392</v>
      </c>
      <c r="B12" s="130">
        <v>60</v>
      </c>
      <c r="E12" s="275"/>
    </row>
    <row r="13" spans="1:15" x14ac:dyDescent="0.25">
      <c r="A13" s="131" t="s">
        <v>391</v>
      </c>
      <c r="B13" s="130">
        <v>40</v>
      </c>
    </row>
    <row r="15" spans="1:15" x14ac:dyDescent="0.25">
      <c r="A15" s="2" t="s">
        <v>392</v>
      </c>
      <c r="B15" s="276">
        <f>SUMIF(A2:A13,A15,B2:B13)</f>
        <v>180</v>
      </c>
    </row>
  </sheetData>
  <dataValidations count="1">
    <dataValidation type="list" allowBlank="1" showInputMessage="1" showErrorMessage="1" sqref="A15" xr:uid="{D81F08E6-7F29-4CA8-96B8-808DFD630776}">
      <formula1>$O$2:$O$5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6B41-440E-4FC7-9981-3BC5863B2AC7}">
  <dimension ref="A1:J27"/>
  <sheetViews>
    <sheetView workbookViewId="0">
      <selection activeCell="H8" sqref="H8"/>
    </sheetView>
  </sheetViews>
  <sheetFormatPr defaultRowHeight="15" x14ac:dyDescent="0.25"/>
  <cols>
    <col min="4" max="4" width="14.7109375" customWidth="1"/>
    <col min="5" max="5" width="22.28515625" customWidth="1"/>
    <col min="6" max="6" width="17.7109375" customWidth="1"/>
  </cols>
  <sheetData>
    <row r="1" spans="1:10" ht="51" x14ac:dyDescent="0.3">
      <c r="A1" s="2" t="s">
        <v>549</v>
      </c>
      <c r="B1" s="279" t="s">
        <v>3</v>
      </c>
      <c r="C1" s="279" t="s">
        <v>251</v>
      </c>
      <c r="D1" s="279" t="s">
        <v>543</v>
      </c>
      <c r="E1" s="279" t="s">
        <v>546</v>
      </c>
      <c r="J1" s="52" t="s">
        <v>548</v>
      </c>
    </row>
    <row r="2" spans="1:10" x14ac:dyDescent="0.25">
      <c r="A2" s="2">
        <v>1</v>
      </c>
      <c r="B2" s="281">
        <v>100</v>
      </c>
      <c r="C2" s="281">
        <v>10</v>
      </c>
      <c r="D2" s="284">
        <f>IFERROR(B2/C2, "Нет данных")</f>
        <v>10</v>
      </c>
      <c r="E2" s="281">
        <f>B2/C2</f>
        <v>10</v>
      </c>
      <c r="F2">
        <f>IFERROR(B2, "Нет данных")</f>
        <v>100</v>
      </c>
    </row>
    <row r="3" spans="1:10" x14ac:dyDescent="0.25">
      <c r="A3" s="2">
        <v>2</v>
      </c>
      <c r="B3" s="282">
        <v>200</v>
      </c>
      <c r="C3" s="289">
        <v>0</v>
      </c>
      <c r="D3" s="284" t="str">
        <f>IFERROR(B3/C3, "Нет данных")</f>
        <v>Нет данных</v>
      </c>
      <c r="E3" s="281" t="e">
        <f t="shared" ref="E3:E8" si="0">B3/C3</f>
        <v>#DIV/0!</v>
      </c>
      <c r="F3">
        <f t="shared" ref="F3:F9" si="1">IFERROR(B3, "Нет данных")</f>
        <v>200</v>
      </c>
    </row>
    <row r="4" spans="1:10" x14ac:dyDescent="0.25">
      <c r="A4" s="2">
        <v>3</v>
      </c>
      <c r="B4" s="281">
        <v>150</v>
      </c>
      <c r="C4" s="281">
        <v>5</v>
      </c>
      <c r="D4" s="284">
        <f t="shared" ref="D3:D9" si="2">IFERROR(B4/C4, "Нет данных")</f>
        <v>30</v>
      </c>
      <c r="E4" s="281">
        <f t="shared" si="0"/>
        <v>30</v>
      </c>
      <c r="F4">
        <f t="shared" si="1"/>
        <v>150</v>
      </c>
    </row>
    <row r="5" spans="1:10" x14ac:dyDescent="0.25">
      <c r="A5" s="2"/>
      <c r="B5" s="290"/>
      <c r="C5" s="290"/>
      <c r="D5" s="284" t="str">
        <f t="shared" si="2"/>
        <v>Нет данных</v>
      </c>
      <c r="E5" s="281" t="e">
        <f t="shared" si="0"/>
        <v>#DIV/0!</v>
      </c>
      <c r="F5">
        <f t="shared" si="1"/>
        <v>0</v>
      </c>
    </row>
    <row r="6" spans="1:10" x14ac:dyDescent="0.25">
      <c r="A6" s="2">
        <v>5</v>
      </c>
      <c r="B6" s="290" t="s">
        <v>545</v>
      </c>
      <c r="C6" s="283">
        <v>10</v>
      </c>
      <c r="D6" s="284" t="str">
        <f t="shared" si="2"/>
        <v>Нет данных</v>
      </c>
      <c r="E6" s="281" t="e">
        <f t="shared" si="0"/>
        <v>#VALUE!</v>
      </c>
      <c r="F6" t="str">
        <f t="shared" si="1"/>
        <v>ляля</v>
      </c>
    </row>
    <row r="7" spans="1:10" x14ac:dyDescent="0.25">
      <c r="A7" s="2">
        <v>6</v>
      </c>
      <c r="B7" s="283">
        <v>450</v>
      </c>
      <c r="C7" s="283">
        <v>10</v>
      </c>
      <c r="D7" s="284">
        <f t="shared" si="2"/>
        <v>45</v>
      </c>
      <c r="E7" s="281">
        <f t="shared" si="0"/>
        <v>45</v>
      </c>
      <c r="F7">
        <f t="shared" si="1"/>
        <v>450</v>
      </c>
    </row>
    <row r="8" spans="1:10" x14ac:dyDescent="0.25">
      <c r="A8" s="48"/>
      <c r="B8" s="291">
        <v>350</v>
      </c>
      <c r="C8" s="291">
        <v>20</v>
      </c>
      <c r="D8" s="284">
        <f t="shared" si="2"/>
        <v>17.5</v>
      </c>
      <c r="E8" s="281">
        <f t="shared" si="0"/>
        <v>17.5</v>
      </c>
      <c r="F8">
        <f t="shared" si="1"/>
        <v>350</v>
      </c>
    </row>
    <row r="9" spans="1:10" x14ac:dyDescent="0.25">
      <c r="D9" s="284" t="str">
        <f t="shared" si="2"/>
        <v>Нет данных</v>
      </c>
      <c r="F9">
        <f t="shared" si="1"/>
        <v>0</v>
      </c>
    </row>
    <row r="10" spans="1:10" x14ac:dyDescent="0.25">
      <c r="F10">
        <f t="shared" ref="F3:F14" si="3">IFERROR(B11, "Нет данных")</f>
        <v>0</v>
      </c>
    </row>
    <row r="13" spans="1:10" ht="15.75" x14ac:dyDescent="0.25">
      <c r="B13" s="280" t="s">
        <v>544</v>
      </c>
    </row>
    <row r="15" spans="1:10" ht="15.75" x14ac:dyDescent="0.25">
      <c r="B15" s="267" t="s">
        <v>547</v>
      </c>
    </row>
    <row r="19" spans="2:2" ht="15.75" x14ac:dyDescent="0.25">
      <c r="B19" s="278" t="s">
        <v>542</v>
      </c>
    </row>
    <row r="21" spans="2:2" ht="15.75" x14ac:dyDescent="0.25">
      <c r="B21" s="277" t="s">
        <v>536</v>
      </c>
    </row>
    <row r="22" spans="2:2" ht="15.75" x14ac:dyDescent="0.25">
      <c r="B22" s="277" t="s">
        <v>563</v>
      </c>
    </row>
    <row r="23" spans="2:2" ht="15.75" x14ac:dyDescent="0.25">
      <c r="B23" s="277" t="s">
        <v>537</v>
      </c>
    </row>
    <row r="24" spans="2:2" ht="15.75" x14ac:dyDescent="0.25">
      <c r="B24" s="277" t="s">
        <v>538</v>
      </c>
    </row>
    <row r="25" spans="2:2" ht="15.75" x14ac:dyDescent="0.25">
      <c r="B25" s="277" t="s">
        <v>539</v>
      </c>
    </row>
    <row r="26" spans="2:2" ht="15.75" x14ac:dyDescent="0.25">
      <c r="B26" s="277" t="s">
        <v>540</v>
      </c>
    </row>
    <row r="27" spans="2:2" ht="15.75" x14ac:dyDescent="0.25">
      <c r="B27" s="277" t="s">
        <v>541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007B-8F7E-403C-BF34-62DDB9C89626}">
  <dimension ref="A1:M23"/>
  <sheetViews>
    <sheetView workbookViewId="0">
      <selection activeCell="C29" sqref="C29"/>
    </sheetView>
  </sheetViews>
  <sheetFormatPr defaultRowHeight="15" x14ac:dyDescent="0.25"/>
  <cols>
    <col min="1" max="1" width="4.28515625" customWidth="1"/>
    <col min="2" max="3" width="13.7109375" customWidth="1"/>
    <col min="4" max="4" width="16.42578125" customWidth="1"/>
    <col min="5" max="5" width="13.7109375" customWidth="1"/>
    <col min="6" max="6" width="11.7109375" customWidth="1"/>
    <col min="13" max="13" width="13.85546875" customWidth="1"/>
  </cols>
  <sheetData>
    <row r="1" spans="1:13" ht="15.75" thickBot="1" x14ac:dyDescent="0.3">
      <c r="A1" s="87" t="s">
        <v>458</v>
      </c>
      <c r="B1" s="87" t="s">
        <v>58</v>
      </c>
      <c r="C1" s="87" t="s">
        <v>73</v>
      </c>
      <c r="D1" s="87" t="s">
        <v>211</v>
      </c>
      <c r="E1" s="271">
        <v>4</v>
      </c>
      <c r="F1" s="292" t="s">
        <v>342</v>
      </c>
      <c r="M1" s="121" t="s">
        <v>323</v>
      </c>
    </row>
    <row r="2" spans="1:13" x14ac:dyDescent="0.25">
      <c r="A2" s="87">
        <v>1</v>
      </c>
      <c r="B2" s="87" t="s">
        <v>327</v>
      </c>
      <c r="C2" s="87" t="s">
        <v>40</v>
      </c>
      <c r="D2" s="87">
        <v>80000</v>
      </c>
      <c r="G2" s="1" t="s">
        <v>343</v>
      </c>
      <c r="M2" s="121" t="s">
        <v>342</v>
      </c>
    </row>
    <row r="3" spans="1:13" x14ac:dyDescent="0.25">
      <c r="A3" s="87">
        <v>2</v>
      </c>
      <c r="B3" s="87" t="s">
        <v>326</v>
      </c>
      <c r="C3" s="87" t="s">
        <v>67</v>
      </c>
      <c r="D3" s="87">
        <v>60000</v>
      </c>
      <c r="M3" s="1" t="s">
        <v>341</v>
      </c>
    </row>
    <row r="4" spans="1:13" x14ac:dyDescent="0.25">
      <c r="A4" s="87">
        <v>3</v>
      </c>
      <c r="B4" s="87" t="s">
        <v>325</v>
      </c>
      <c r="C4" s="87" t="s">
        <v>319</v>
      </c>
      <c r="D4" s="87">
        <v>90000</v>
      </c>
    </row>
    <row r="5" spans="1:13" x14ac:dyDescent="0.25">
      <c r="A5" s="87">
        <v>4</v>
      </c>
      <c r="B5" s="87" t="s">
        <v>324</v>
      </c>
      <c r="C5" s="87" t="s">
        <v>318</v>
      </c>
      <c r="D5" s="87">
        <v>50000</v>
      </c>
    </row>
    <row r="6" spans="1:13" ht="15.75" thickBot="1" x14ac:dyDescent="0.3">
      <c r="A6" s="79"/>
      <c r="B6" s="79"/>
      <c r="C6" s="79"/>
      <c r="D6" s="79"/>
    </row>
    <row r="7" spans="1:13" ht="15.75" x14ac:dyDescent="0.25">
      <c r="A7" s="91" t="s">
        <v>340</v>
      </c>
      <c r="D7" s="233" t="str">
        <f>VLOOKUP(3,A1:D5,3,FALSE)</f>
        <v>Разработчик</v>
      </c>
      <c r="E7" s="1" t="s">
        <v>339</v>
      </c>
    </row>
    <row r="8" spans="1:13" ht="15.75" thickBot="1" x14ac:dyDescent="0.3">
      <c r="D8" s="234" t="str">
        <f>INDEX(C1:C5,  MATCH(3, A1:A5,  0))</f>
        <v>Разработчик</v>
      </c>
      <c r="E8" s="1" t="s">
        <v>338</v>
      </c>
    </row>
    <row r="10" spans="1:13" x14ac:dyDescent="0.25">
      <c r="A10" s="120" t="s">
        <v>337</v>
      </c>
      <c r="B10" s="1"/>
    </row>
    <row r="11" spans="1:13" x14ac:dyDescent="0.25">
      <c r="A11" t="s">
        <v>336</v>
      </c>
    </row>
    <row r="12" spans="1:13" x14ac:dyDescent="0.25">
      <c r="A12" t="s">
        <v>335</v>
      </c>
    </row>
    <row r="13" spans="1:13" x14ac:dyDescent="0.25">
      <c r="A13" s="120" t="s">
        <v>334</v>
      </c>
    </row>
    <row r="14" spans="1:13" ht="15.75" thickBot="1" x14ac:dyDescent="0.3">
      <c r="D14" t="s">
        <v>566</v>
      </c>
      <c r="E14" t="s">
        <v>564</v>
      </c>
    </row>
    <row r="15" spans="1:13" ht="15.75" thickBot="1" x14ac:dyDescent="0.3">
      <c r="D15" s="293">
        <f>INDEX(A1:D5,MATCH(3,A1:A5,0), MATCH(F1,A1:D1, 0))</f>
        <v>90000</v>
      </c>
      <c r="E15" s="271">
        <f>INDEX(A1:D5,MATCH(E1,A1:A5,0), MATCH(F1,A1:D1, 0))</f>
        <v>50000</v>
      </c>
    </row>
    <row r="16" spans="1:13" x14ac:dyDescent="0.25">
      <c r="A16" s="120" t="s">
        <v>565</v>
      </c>
    </row>
    <row r="18" spans="1:5" ht="15.75" thickBot="1" x14ac:dyDescent="0.3">
      <c r="A18" t="s">
        <v>333</v>
      </c>
    </row>
    <row r="19" spans="1:5" x14ac:dyDescent="0.25">
      <c r="C19" s="129" t="s">
        <v>567</v>
      </c>
      <c r="D19" s="119" t="e">
        <f>VLOOKUP(5,A1:D5,3,FALSE)</f>
        <v>#N/A</v>
      </c>
      <c r="E19" s="1" t="s">
        <v>332</v>
      </c>
    </row>
    <row r="20" spans="1:5" ht="15.75" thickBot="1" x14ac:dyDescent="0.3">
      <c r="C20" s="129" t="s">
        <v>568</v>
      </c>
      <c r="D20" s="118" t="str">
        <f>IFERROR(VLOOKUP(5,A1:D5,3,FALSE),"Сотрудника нет")</f>
        <v>Сотрудника нет</v>
      </c>
      <c r="E20" s="1" t="s">
        <v>331</v>
      </c>
    </row>
    <row r="21" spans="1:5" x14ac:dyDescent="0.25">
      <c r="C21" s="129" t="s">
        <v>569</v>
      </c>
      <c r="D21" t="str">
        <f>IFERROR(INDEX(C1:C5,  MATCH(3, A1:A5,  0)),"Сотрудника нет")</f>
        <v>Разработчик</v>
      </c>
      <c r="E21" s="1" t="s">
        <v>330</v>
      </c>
    </row>
    <row r="23" spans="1:5" x14ac:dyDescent="0.25">
      <c r="A23" t="s">
        <v>329</v>
      </c>
    </row>
  </sheetData>
  <dataValidations count="2">
    <dataValidation type="list" allowBlank="1" showInputMessage="1" showErrorMessage="1" sqref="F1" xr:uid="{5B96BC56-EF25-4132-933A-225B78664398}">
      <formula1>выбор</formula1>
    </dataValidation>
    <dataValidation type="list" allowBlank="1" showInputMessage="1" showErrorMessage="1" sqref="E1" xr:uid="{70D81CD1-4E20-48DA-BDC4-95CCC0E3E606}">
      <formula1>$A$2:$A$5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15</vt:i4>
      </vt:variant>
    </vt:vector>
  </HeadingPairs>
  <TitlesOfParts>
    <vt:vector size="36" baseType="lpstr">
      <vt:lpstr>счет</vt:lpstr>
      <vt:lpstr>счет_если</vt:lpstr>
      <vt:lpstr>сумма</vt:lpstr>
      <vt:lpstr>текст_ФИО</vt:lpstr>
      <vt:lpstr>текст</vt:lpstr>
      <vt:lpstr>текст-формат</vt:lpstr>
      <vt:lpstr>логические</vt:lpstr>
      <vt:lpstr>категория</vt:lpstr>
      <vt:lpstr>время</vt:lpstr>
      <vt:lpstr>время_1</vt:lpstr>
      <vt:lpstr>время_2</vt:lpstr>
      <vt:lpstr>поиск</vt:lpstr>
      <vt:lpstr>поиск_комб</vt:lpstr>
      <vt:lpstr>листов EX</vt:lpstr>
      <vt:lpstr>список</vt:lpstr>
      <vt:lpstr>сп_зав</vt:lpstr>
      <vt:lpstr>сп_зв</vt:lpstr>
      <vt:lpstr>список3</vt:lpstr>
      <vt:lpstr>сп+сумма</vt:lpstr>
      <vt:lpstr>ошибки</vt:lpstr>
      <vt:lpstr>комбо_п_о_сп</vt:lpstr>
      <vt:lpstr>Азия</vt:lpstr>
      <vt:lpstr>Азия_Китай</vt:lpstr>
      <vt:lpstr>Азия_Япония</vt:lpstr>
      <vt:lpstr>Америка</vt:lpstr>
      <vt:lpstr>Америка_Канада</vt:lpstr>
      <vt:lpstr>Америка_США</vt:lpstr>
      <vt:lpstr>выбор</vt:lpstr>
      <vt:lpstr>Европа</vt:lpstr>
      <vt:lpstr>Европа_Германия</vt:lpstr>
      <vt:lpstr>Европа_Франция</vt:lpstr>
      <vt:lpstr>Континент</vt:lpstr>
      <vt:lpstr>машины</vt:lpstr>
      <vt:lpstr>овощи</vt:lpstr>
      <vt:lpstr>СписокКатегорий</vt:lpstr>
      <vt:lpstr>фрукты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2025-08-25T04:32:36Z</dcterms:created>
  <dcterms:modified xsi:type="dcterms:W3CDTF">2025-09-17T18:15:51Z</dcterms:modified>
</cp:coreProperties>
</file>