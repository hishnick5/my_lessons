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6_Excel_3\"/>
    </mc:Choice>
  </mc:AlternateContent>
  <xr:revisionPtr revIDLastSave="0" documentId="13_ncr:1_{17690F49-90A7-4BBC-971F-56BCC43A8382}" xr6:coauthVersionLast="47" xr6:coauthVersionMax="47" xr10:uidLastSave="{00000000-0000-0000-0000-000000000000}"/>
  <bookViews>
    <workbookView xWindow="3960" yWindow="510" windowWidth="24690" windowHeight="14595" tabRatio="889" activeTab="2" xr2:uid="{174183D0-993B-42B4-B3AB-F5C423D7F106}"/>
  </bookViews>
  <sheets>
    <sheet name="сортиров" sheetId="17" r:id="rId1"/>
    <sheet name="фильтрация" sheetId="29" r:id="rId2"/>
    <sheet name="груп_вер" sheetId="27" r:id="rId3"/>
    <sheet name="груп_гориз" sheetId="30" r:id="rId4"/>
    <sheet name="груп-ка _копир" sheetId="4" r:id="rId5"/>
    <sheet name="ум_таб" sheetId="28" r:id="rId6"/>
    <sheet name="свод_готов" sheetId="1" r:id="rId7"/>
    <sheet name="выч_поле_свод" sheetId="32" r:id="rId8"/>
    <sheet name="загрузка" sheetId="3" r:id="rId9"/>
    <sheet name="из PQ" sheetId="33" r:id="rId10"/>
  </sheets>
  <definedNames>
    <definedName name="_xlnm._FilterDatabase" localSheetId="6" hidden="1">свод_готов!#REF!</definedName>
    <definedName name="_xlnm._FilterDatabase" localSheetId="5" hidden="1">ум_таб!$A$1:$F$11</definedName>
    <definedName name="_xlnm._FilterDatabase" localSheetId="1" hidden="1">фильтрация!$A$1:$C$21</definedName>
    <definedName name="ExternalData_1" localSheetId="9" hidden="1">'из PQ'!$A$1:$D$33</definedName>
  </definedNames>
  <calcPr calcId="181029"/>
  <pivotCaches>
    <pivotCache cacheId="39" r:id="rId11"/>
    <pivotCache cacheId="4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8" l="1"/>
  <c r="G3" i="28"/>
  <c r="G4" i="28"/>
  <c r="G5" i="28"/>
  <c r="G6" i="28"/>
  <c r="G7" i="28"/>
  <c r="G8" i="28"/>
  <c r="G9" i="28"/>
  <c r="G10" i="28"/>
  <c r="G11" i="28"/>
  <c r="N9" i="30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35" i="30"/>
  <c r="N36" i="30"/>
  <c r="N37" i="30"/>
  <c r="N38" i="30"/>
  <c r="N39" i="30"/>
  <c r="N40" i="30"/>
  <c r="N41" i="30"/>
  <c r="N42" i="30"/>
  <c r="N43" i="30"/>
  <c r="N44" i="30"/>
  <c r="N45" i="30"/>
  <c r="N46" i="30"/>
  <c r="N47" i="30"/>
  <c r="N48" i="30"/>
  <c r="N49" i="30"/>
  <c r="N50" i="30"/>
  <c r="N51" i="30"/>
  <c r="N52" i="30"/>
  <c r="N53" i="30"/>
  <c r="N54" i="30"/>
  <c r="N55" i="30"/>
  <c r="N56" i="30"/>
  <c r="N57" i="30"/>
  <c r="N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8" i="3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351735-C75C-447C-B97C-AC2D15EE523C}" keepAlive="1" name="Запрос — data2_ароп" description="Соединение с запросом &quot;data2_ароп&quot; в книге." type="5" refreshedVersion="8" background="1" saveData="1">
    <dbPr connection="Provider=Microsoft.Mashup.OleDb.1;Data Source=$Workbook$;Location=data2_ароп;Extended Properties=&quot;&quot;" command="SELECT * FROM [data2_ароп]"/>
  </connection>
  <connection id="2" xr16:uid="{0795D27A-D762-44AD-B008-BE9387B2E976}" keepAlive="1" name="Запрос — date (2)" description="Соединение с запросом &quot;date (2)&quot; в книге." type="5" refreshedVersion="8" background="1" saveData="1">
    <dbPr connection="Provider=Microsoft.Mashup.OleDb.1;Data Source=$Workbook$;Location=&quot;date (2)&quot;;Extended Properties=&quot;&quot;" command="SELECT * FROM [date (2)]"/>
  </connection>
</connections>
</file>

<file path=xl/sharedStrings.xml><?xml version="1.0" encoding="utf-8"?>
<sst xmlns="http://schemas.openxmlformats.org/spreadsheetml/2006/main" count="723" uniqueCount="237">
  <si>
    <t>Дата</t>
  </si>
  <si>
    <t>Регион</t>
  </si>
  <si>
    <t>Менеджер</t>
  </si>
  <si>
    <t>Товар</t>
  </si>
  <si>
    <t>Количество</t>
  </si>
  <si>
    <t>Цена</t>
  </si>
  <si>
    <t>Запад</t>
  </si>
  <si>
    <t>Иванов</t>
  </si>
  <si>
    <t>Молоко</t>
  </si>
  <si>
    <t>Восток</t>
  </si>
  <si>
    <t>Петров</t>
  </si>
  <si>
    <t>Хлеб</t>
  </si>
  <si>
    <t>Яйца</t>
  </si>
  <si>
    <t>Сидоров</t>
  </si>
  <si>
    <t>Юг</t>
  </si>
  <si>
    <t>Томаты</t>
  </si>
  <si>
    <t>Огурцы</t>
  </si>
  <si>
    <t>Названия строк</t>
  </si>
  <si>
    <t>Общий итог</t>
  </si>
  <si>
    <t>янв</t>
  </si>
  <si>
    <t>фев</t>
  </si>
  <si>
    <t>01.янв</t>
  </si>
  <si>
    <t>02.янв</t>
  </si>
  <si>
    <t>03.янв</t>
  </si>
  <si>
    <t>Подразделение</t>
  </si>
  <si>
    <t>Вид номенклатуры</t>
  </si>
  <si>
    <t>Номенклатура.Наименование</t>
  </si>
  <si>
    <t>Контрагент</t>
  </si>
  <si>
    <t>2024 г.</t>
  </si>
  <si>
    <t>Оптовые продажи</t>
  </si>
  <si>
    <t>Сифоны HOME BAR</t>
  </si>
  <si>
    <t>Сифон HOME BAR Elixir Evolution</t>
  </si>
  <si>
    <t>Сифон HOME BAR Elixir Turbo</t>
  </si>
  <si>
    <t>Сифон HOME BAR Fizzini NG</t>
  </si>
  <si>
    <t>Сифон HOME BAR Smart 110 NG</t>
  </si>
  <si>
    <t>Раковины HOME BAR</t>
  </si>
  <si>
    <t>Раковина HOME BAR Elixir</t>
  </si>
  <si>
    <t>Раковина HOME BAR Elixir Turbo</t>
  </si>
  <si>
    <t>Раковина HOME BAR Fizzini NG</t>
  </si>
  <si>
    <t>Продажи в розницу</t>
  </si>
  <si>
    <t>Сифон HOME BAR</t>
  </si>
  <si>
    <t>Итого</t>
  </si>
  <si>
    <t>Динамика продаж</t>
  </si>
  <si>
    <t>период : 01.01.2024 -31.03.2024</t>
  </si>
  <si>
    <t>фирма1</t>
  </si>
  <si>
    <t>фирма2</t>
  </si>
  <si>
    <t>фирма3</t>
  </si>
  <si>
    <t>фирма4</t>
  </si>
  <si>
    <t>фирма5</t>
  </si>
  <si>
    <t>фирма6</t>
  </si>
  <si>
    <t>ФИО</t>
  </si>
  <si>
    <t>цель  загрузить файл data.csv</t>
  </si>
  <si>
    <t>Рабочий вариант: группировка таблицы</t>
  </si>
  <si>
    <t xml:space="preserve">Данные” -&gt; группа “Получение внешних данных” -&gt; “Из текста </t>
  </si>
  <si>
    <t>сервер</t>
  </si>
  <si>
    <t>локально</t>
  </si>
  <si>
    <t>Данные -&gt; Из Интернета-Введите URL веб-страницы -OK-</t>
  </si>
  <si>
    <t>интернет</t>
  </si>
  <si>
    <t>Данные-&gt; Создать запрос -&gt; Из файла – из CSV</t>
  </si>
  <si>
    <t>цель сортировка</t>
  </si>
  <si>
    <t>Должность</t>
  </si>
  <si>
    <t>Зарплата</t>
  </si>
  <si>
    <t>Иванов И.И.</t>
  </si>
  <si>
    <t>Петров П.П.</t>
  </si>
  <si>
    <t>Аналитик</t>
  </si>
  <si>
    <t>Сидоров С.С.</t>
  </si>
  <si>
    <t>Разработчик</t>
  </si>
  <si>
    <t>Смирнов А.А.</t>
  </si>
  <si>
    <t>Тестировщик</t>
  </si>
  <si>
    <t>Норенков И. П.</t>
  </si>
  <si>
    <t>Хомяков К. С.</t>
  </si>
  <si>
    <t>Ксенофонтов Б. С.</t>
  </si>
  <si>
    <t>Кукин П. П.</t>
  </si>
  <si>
    <t>Пышкина Э. П.</t>
  </si>
  <si>
    <t>Зимакова И. Ф.</t>
  </si>
  <si>
    <t>Горбунов С. В.</t>
  </si>
  <si>
    <t>Киселёв М. И.</t>
  </si>
  <si>
    <t>Крушняк Н. Т.</t>
  </si>
  <si>
    <t>Протопопов В. В.</t>
  </si>
  <si>
    <t>Синичкин  А.А.</t>
  </si>
  <si>
    <t>Данные -&gt; группа-Сортировка от А до Я” (по возрастанию) или “Сортировка от Я до А” (по убыванию).</t>
  </si>
  <si>
    <t>было</t>
  </si>
  <si>
    <t>Выберите любую ячейку в таблице.</t>
  </si>
  <si>
    <t>Многоуровневая сортировка</t>
  </si>
  <si>
    <t>Простая сортировка</t>
  </si>
  <si>
    <t>Данные -&gt;Сортировка</t>
  </si>
  <si>
    <t>OK</t>
  </si>
  <si>
    <t>Параметры- Учитывать регистр</t>
  </si>
  <si>
    <t xml:space="preserve"> Включение учитывать регистр или нет </t>
  </si>
  <si>
    <t xml:space="preserve"> Цветовая сортировка</t>
  </si>
  <si>
    <t xml:space="preserve"> Добавьте уровень-&gt;указывая столбец-&gt;тип сортировки= значение ячейки-&gt; порядок сортировки.</t>
  </si>
  <si>
    <t xml:space="preserve">тип сортировки = цвет шрифта/цвет ячейки-&gt; </t>
  </si>
  <si>
    <t xml:space="preserve"> порядок сортировки= выбор цвета -сверху /снизу.</t>
  </si>
  <si>
    <t xml:space="preserve"> Добавьте уровнь-&gt;указывая столбец-&gt;</t>
  </si>
  <si>
    <t>Белов С. Н.</t>
  </si>
  <si>
    <t>Пронякин В. М.</t>
  </si>
  <si>
    <t>Омельченко И.Р.</t>
  </si>
  <si>
    <t>Строганов Д. Т.</t>
  </si>
  <si>
    <t>Симакова Е.С.</t>
  </si>
  <si>
    <t>Данные-Получение внешних данных- Из других источников -&gt;</t>
  </si>
  <si>
    <t>Выберите тип базы данных (SQL Server, Access, MySQL и т.д.)</t>
  </si>
  <si>
    <t>Цель Фильтрация</t>
  </si>
  <si>
    <t>Данные -&gt;Фильтр</t>
  </si>
  <si>
    <t>Нажмите на кнопку фильтра в столбце, по которому нужно выполнить фильтрацию.</t>
  </si>
  <si>
    <t>В открывшемся меню фильтра выберите нужные критерии фильтрации.</t>
  </si>
  <si>
    <t>Типы фильтров:</t>
  </si>
  <si>
    <r>
      <t>Фильтрация по значениям:</t>
    </r>
    <r>
      <rPr>
        <sz val="12"/>
        <color rgb="FF0070C0"/>
        <rFont val="Times New Roman"/>
        <family val="1"/>
        <charset val="204"/>
      </rPr>
      <t> Отображает только те строки, в которых значение в выбранном столбце соответствует одному из выбранных значений.</t>
    </r>
  </si>
  <si>
    <r>
      <t>Числовые фильтры:</t>
    </r>
    <r>
      <rPr>
        <sz val="12"/>
        <color rgb="FF0070C0"/>
        <rFont val="Times New Roman"/>
        <family val="1"/>
        <charset val="204"/>
      </rPr>
      <t> Позволяют фильтровать числовые значения по различным условиям (равно, не равно, больше, меньше, между и т.д.).</t>
    </r>
  </si>
  <si>
    <r>
      <t>Текстовые фильтры:</t>
    </r>
    <r>
      <rPr>
        <sz val="12"/>
        <color rgb="FF0070C0"/>
        <rFont val="Times New Roman"/>
        <family val="1"/>
        <charset val="204"/>
      </rPr>
      <t> Позволяют фильтровать текстовые значения по различным условиям (равно, не равно, начинается с, заканчивается на, содержит и т.д.).</t>
    </r>
  </si>
  <si>
    <r>
      <t>Фильтры дат:</t>
    </r>
    <r>
      <rPr>
        <sz val="12"/>
        <color rgb="FF0070C0"/>
        <rFont val="Times New Roman"/>
        <family val="1"/>
        <charset val="204"/>
      </rPr>
      <t xml:space="preserve"> Позволяют фильтровать даты по различным условиям (равно, не равно, до, после, между, за определенный </t>
    </r>
  </si>
  <si>
    <t xml:space="preserve">Выполнить </t>
  </si>
  <si>
    <t>Фильтрация</t>
  </si>
  <si>
    <t>Отобразить только строки, в которых зарплата между 100 000 и120 000.</t>
  </si>
  <si>
    <t>Отобразить только строки, в которых ФИО сотрудника начинается с "Си"</t>
  </si>
  <si>
    <t>Отобразить только строки, в которых должность сотрудника оканчивается на "ик"</t>
  </si>
  <si>
    <t>указываем текст без кавычек!</t>
  </si>
  <si>
    <t>Выберите диапазон ячеек, который нужно преобразовать в ум. таб. (Включая заголовки столбцов).</t>
  </si>
  <si>
    <t>OK.</t>
  </si>
  <si>
    <t>Вкладка Вставка -&gt;  Таблица.</t>
  </si>
  <si>
    <t>создание  Умной таблицы</t>
  </si>
  <si>
    <t>Цель:  группировка таблицы</t>
  </si>
  <si>
    <t>период : 01.01.2025 -31.03.2025</t>
  </si>
  <si>
    <t>вкладка Данные” - “Структура” (Группа и структура) - “Группировать” Появится окно “Группировка” (“Group”).</t>
  </si>
  <si>
    <t>Создание группировки</t>
  </si>
  <si>
    <r>
      <t xml:space="preserve">вкладка Данные- Группировать- окно “Группировка” - </t>
    </r>
    <r>
      <rPr>
        <b/>
        <sz val="12"/>
        <color rgb="FF0070C0"/>
        <rFont val="Times New Roman"/>
        <family val="1"/>
        <charset val="204"/>
      </rPr>
      <t>Строки</t>
    </r>
    <r>
      <rPr>
        <sz val="12"/>
        <color rgb="FF0070C0"/>
        <rFont val="Times New Roman"/>
        <family val="1"/>
        <charset val="204"/>
      </rPr>
      <t xml:space="preserve"> - ОК</t>
    </r>
  </si>
  <si>
    <t>Использование значков “+” и “-” для сворачивания и разворачивания групп:</t>
  </si>
  <si>
    <t>После того как вы сгруппировали строки, слева от нумерации строк появятся линии и значки “+” и “-“.</t>
  </si>
  <si>
    <r>
      <t>Нажмите на значок “-“</t>
    </r>
    <r>
      <rPr>
        <sz val="12"/>
        <color rgb="FF212529"/>
        <rFont val="Times New Roman"/>
        <family val="1"/>
        <charset val="204"/>
      </rPr>
      <t>, чтобы свернуть группу и скрыть строки, входящие в эту группу.</t>
    </r>
  </si>
  <si>
    <r>
      <t>Нажмите на значок “+”</t>
    </r>
    <r>
      <rPr>
        <sz val="12"/>
        <color rgb="FF212529"/>
        <rFont val="Times New Roman"/>
        <family val="1"/>
        <charset val="204"/>
      </rPr>
      <t>, чтобы развернуть группу и показать строки, входящие в эту группу.</t>
    </r>
  </si>
  <si>
    <t>Использование уровней структуры (1, 2, 3 и т.д.):</t>
  </si>
  <si>
    <r>
      <t>Нажмите на кнопку “1”</t>
    </r>
    <r>
      <rPr>
        <sz val="12"/>
        <color rgb="FF212529"/>
        <rFont val="Times New Roman"/>
        <family val="1"/>
        <charset val="204"/>
      </rPr>
      <t>, чтобы отобразить только самый верхний уровень структуры (например, только основные категории).</t>
    </r>
  </si>
  <si>
    <r>
      <t>Нажмите на кнопку “2”</t>
    </r>
    <r>
      <rPr>
        <sz val="12"/>
        <color rgb="FF212529"/>
        <rFont val="Times New Roman"/>
        <family val="1"/>
        <charset val="204"/>
      </rPr>
      <t>, чтобы отобразить второй уровень структуры (например, основные категории и названия групп).</t>
    </r>
  </si>
  <si>
    <r>
      <t>Нажмите на кнопку “3” (или больше)</t>
    </r>
    <r>
      <rPr>
        <sz val="12"/>
        <color rgb="FF212529"/>
        <rFont val="Times New Roman"/>
        <family val="1"/>
        <charset val="204"/>
      </rPr>
      <t>, чтобы отобразить все уровни структуры (например, все данные).</t>
    </r>
  </si>
  <si>
    <t>Над таблицей появятся кнопки с цифрами 1, 2, 3 и т.д. Эти кнопки представляют собой уровни структуры.</t>
  </si>
  <si>
    <r>
      <t xml:space="preserve">Выделите </t>
    </r>
    <r>
      <rPr>
        <sz val="12"/>
        <color rgb="FF212529"/>
        <rFont val="Times New Roman"/>
        <family val="1"/>
        <charset val="204"/>
      </rPr>
      <t>сгруппированные строки (или столбцы), которые хотите разгруппировать.</t>
    </r>
  </si>
  <si>
    <t>Перейдите на вкладку “Данные” - “Структура” - “Разгруппировать” -</t>
  </si>
  <si>
    <t>Выберите “Строки” или “Столбцы” - “OK”.</t>
  </si>
  <si>
    <r>
      <t>Выделите</t>
    </r>
    <r>
      <rPr>
        <b/>
        <sz val="12"/>
        <color rgb="FF0070C0"/>
        <rFont val="Times New Roman"/>
        <family val="1"/>
        <charset val="204"/>
      </rPr>
      <t xml:space="preserve"> строки</t>
    </r>
    <r>
      <rPr>
        <sz val="12"/>
        <color rgb="FF0070C0"/>
        <rFont val="Times New Roman"/>
        <family val="1"/>
        <charset val="204"/>
      </rPr>
      <t>, которые хотите сгруппировать</t>
    </r>
  </si>
  <si>
    <t>(Начинаем с  мелких оставля названия крупных)</t>
  </si>
  <si>
    <t>период : 01.01.2025 -31.09.2025</t>
  </si>
  <si>
    <t xml:space="preserve">Итого </t>
  </si>
  <si>
    <t>итого кв1</t>
  </si>
  <si>
    <t>итого кв2</t>
  </si>
  <si>
    <t>итого кв3</t>
  </si>
  <si>
    <t>Выделите столбцы, которые хотите сгруппировать</t>
  </si>
  <si>
    <t>Выберите  Столбцы (“Columns”) - ОК</t>
  </si>
  <si>
    <t>Разгруппировка строк(Удаление группировки)</t>
  </si>
  <si>
    <t>Кол-во</t>
  </si>
  <si>
    <t>убедитесь, что указан правильный диапазон  и если есть заголовки, то поставьте галочку</t>
  </si>
  <si>
    <t>прибыль</t>
  </si>
  <si>
    <t>"=СУММ([@[Кол-во]];[@Цена])</t>
  </si>
  <si>
    <t xml:space="preserve">И ячейки имеют другое название например </t>
  </si>
  <si>
    <t>Е2 стало @[Кол-во], а F2 стало [@Цена]</t>
  </si>
  <si>
    <t>Ввод формул</t>
  </si>
  <si>
    <t xml:space="preserve">  Если мы вставляем формулу  то подсчет сразу идет по всей строке</t>
  </si>
  <si>
    <t>И подсчет происходит сразу на весь столбец</t>
  </si>
  <si>
    <t>"=ПРОИЗВЕД([@[Кол-во]];[@Цена])</t>
  </si>
  <si>
    <t xml:space="preserve"> Цель: умная таблица</t>
  </si>
  <si>
    <t>готовый вариант умной таблицы</t>
  </si>
  <si>
    <t>изначальный вид таблицы</t>
  </si>
  <si>
    <t xml:space="preserve">Цель: сводная таблица </t>
  </si>
  <si>
    <t xml:space="preserve"> Способ создания сводной таблицы:</t>
  </si>
  <si>
    <t xml:space="preserve">Выделите диапазон ячеек (Включая заголовки столбцов). Рекомендуется, умные таблицы
</t>
  </si>
  <si>
    <t>Вкладка “Вставка-Сводная таблица.</t>
  </si>
  <si>
    <t>Excel создаст заготовку сводной таблицы и отобразит область “Поля сводной таблицы” справа от листа.</t>
  </si>
  <si>
    <t xml:space="preserve">В окне - выберите диапазон данных </t>
  </si>
  <si>
    <t>ОК</t>
  </si>
  <si>
    <t>место размещения сводной таблицы (на новом листе или тут же)</t>
  </si>
  <si>
    <t>Область “Поля сводной таблицы”:</t>
  </si>
  <si>
    <r>
      <t>Поля:</t>
    </r>
    <r>
      <rPr>
        <sz val="12"/>
        <color rgb="FF0070C0"/>
        <rFont val="Times New Roman"/>
        <family val="1"/>
        <charset val="204"/>
      </rPr>
      <t> Список всех столбцов в исходных данных.</t>
    </r>
  </si>
  <si>
    <r>
      <t>Фильтры:</t>
    </r>
    <r>
      <rPr>
        <sz val="12"/>
        <color rgb="FF0070C0"/>
        <rFont val="Times New Roman"/>
        <family val="1"/>
        <charset val="204"/>
      </rPr>
      <t> Поля, используемые для фильтрации данных в сводной таблице.</t>
    </r>
  </si>
  <si>
    <r>
      <t>Столбцы:</t>
    </r>
    <r>
      <rPr>
        <sz val="12"/>
        <color rgb="FF0070C0"/>
        <rFont val="Times New Roman"/>
        <family val="1"/>
        <charset val="204"/>
      </rPr>
      <t> Поля, используемые для отображения данных по столбцам.</t>
    </r>
  </si>
  <si>
    <r>
      <t>Строки:</t>
    </r>
    <r>
      <rPr>
        <sz val="12"/>
        <color rgb="FF0070C0"/>
        <rFont val="Times New Roman"/>
        <family val="1"/>
        <charset val="204"/>
      </rPr>
      <t> Поля, используемые для отображения данных по строкам.</t>
    </r>
  </si>
  <si>
    <r>
      <t>Значения:</t>
    </r>
    <r>
      <rPr>
        <sz val="12"/>
        <color rgb="FF0070C0"/>
        <rFont val="Times New Roman"/>
        <family val="1"/>
        <charset val="204"/>
      </rPr>
      <t> Поля, используемые для вычисления агрегированных показателей (например, сумма, среднее, количество).</t>
    </r>
  </si>
  <si>
    <t>Выполнить</t>
  </si>
  <si>
    <t>Перетащите поле “Регион” в область “Строки”.</t>
  </si>
  <si>
    <t>Создайте сводную таблицу на основе диапазона данных.</t>
  </si>
  <si>
    <t>Excel автоматически рассчитает сумму цен по каждому региону.</t>
  </si>
  <si>
    <t>Перетащите поле “Цена” в область “Значения”.</t>
  </si>
  <si>
    <t>Сумма Цен</t>
  </si>
  <si>
    <t>вставка-таблица</t>
  </si>
  <si>
    <t>(временные  год месяц и т.д идут  при необходимости в столбцы)</t>
  </si>
  <si>
    <t>Прокрути вниз чтоб увидеть варианты</t>
  </si>
  <si>
    <t>примеры готовых</t>
  </si>
  <si>
    <t>копирование из группировки</t>
  </si>
  <si>
    <t>Группировка сложена и надо скопировать итоги</t>
  </si>
  <si>
    <t>Копируем CTRL+C</t>
  </si>
  <si>
    <t>Вставить CTRL+V</t>
  </si>
  <si>
    <t>Выделяем диапазон- нажимаем кнопку F5-кнопка  выделить</t>
  </si>
  <si>
    <t>в окне "Выбор группы ячеек" - радио точка на" только видимые ячейки"</t>
  </si>
  <si>
    <t>Цель копировать промежуточные итоги</t>
  </si>
  <si>
    <t>Филиал</t>
  </si>
  <si>
    <t>Артикул</t>
  </si>
  <si>
    <t>Затраты</t>
  </si>
  <si>
    <t>Выручка</t>
  </si>
  <si>
    <t>Филиал 1</t>
  </si>
  <si>
    <t>Филиал 2</t>
  </si>
  <si>
    <t>Филиал 3</t>
  </si>
  <si>
    <t>Цель: сводная таблица вычисляемое поле</t>
  </si>
  <si>
    <t>создаем сводную таблицу</t>
  </si>
  <si>
    <t>галка добавить данные</t>
  </si>
  <si>
    <t>надо посчитать рентабельность которого нет</t>
  </si>
  <si>
    <t xml:space="preserve">Задание </t>
  </si>
  <si>
    <t>Значения = затраты, выручка</t>
  </si>
  <si>
    <t>Строки = Филиал</t>
  </si>
  <si>
    <t>новое поле</t>
  </si>
  <si>
    <t>Создаем сводную таблицу</t>
  </si>
  <si>
    <t>Добавить-ОК</t>
  </si>
  <si>
    <t>Анализ сводной таблицы-Поле,элементы,наборы</t>
  </si>
  <si>
    <t>Вычисляемое поле</t>
  </si>
  <si>
    <t>Имя= рентабельность</t>
  </si>
  <si>
    <t>добавлятьполе из нижнего окна</t>
  </si>
  <si>
    <t>Формула= (выручка- затраты)/выручка</t>
  </si>
  <si>
    <t>числовой формат-%</t>
  </si>
  <si>
    <t>пр. кн по новому столбцу</t>
  </si>
  <si>
    <t>Отмена подгона ширины столбца</t>
  </si>
  <si>
    <t xml:space="preserve"> выбрать любую ячеку св.таб </t>
  </si>
  <si>
    <t>анализ  свод.таб-параметры</t>
  </si>
  <si>
    <t>снимаем галку автом. изменять подгонку столбцов</t>
  </si>
  <si>
    <t xml:space="preserve"> включить возможность делать подсчеты с формулами для свод.таб</t>
  </si>
  <si>
    <t>"=ПОЛУЧИТЬ.ДАННЫЕ.СВОДНОЙ.ТАБЛИЦЫ("Сумма по полю Затраты";$K$6;"Филиал";"Филиал 1")</t>
  </si>
  <si>
    <t>если попытаемся создать формулу из свод.табл то получим вместо  стандартных C3</t>
  </si>
  <si>
    <t>надо отключить  GETPivotData</t>
  </si>
  <si>
    <t>выделить ячейку свод.таб</t>
  </si>
  <si>
    <t>Анализ сводной таблицы-параметры</t>
  </si>
  <si>
    <t>Снять галку с GETPivotData</t>
  </si>
  <si>
    <t>Фильт по цвету:</t>
  </si>
  <si>
    <t>Сумма по полю Цена</t>
  </si>
  <si>
    <t>Названия столбцов</t>
  </si>
  <si>
    <t>Данные -&gt;Сортировка и фильтр-настраиваемая Сортировка</t>
  </si>
  <si>
    <t>https://cbr.ru/currency_base/daily</t>
  </si>
  <si>
    <t/>
  </si>
  <si>
    <t>ссылка на ЦБ курс валют</t>
  </si>
  <si>
    <t>задание</t>
  </si>
  <si>
    <t xml:space="preserve"> поробуйте  сделать многоуровневую сортировку по значениям</t>
  </si>
  <si>
    <t xml:space="preserve"> сортировку по заливке</t>
  </si>
  <si>
    <t>многоуровневую сортировку по цвету шрифта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</si>
</sst>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32" x14ac:knownFonts="1">
    <font>
      <sz val="11"/>
      <color theme="1"/>
      <name val="Calibri"/>
      <family val="2"/>
      <charset val="204"/>
      <scheme val="minor"/>
    </font>
    <font>
      <b/>
      <sz val="12"/>
      <color rgb="FF212529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0070C0"/>
      <name val="Calibri"/>
      <family val="2"/>
      <charset val="204"/>
      <scheme val="minor"/>
    </font>
    <font>
      <sz val="16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sz val="11"/>
      <color rgb="FF002060"/>
      <name val="Calibri"/>
      <family val="2"/>
      <charset val="204"/>
      <scheme val="minor"/>
    </font>
    <font>
      <sz val="14"/>
      <color rgb="FFC00000"/>
      <name val="Arial Black"/>
      <family val="2"/>
      <charset val="204"/>
    </font>
    <font>
      <sz val="11"/>
      <color rgb="FFC00000"/>
      <name val="Calibri"/>
      <family val="2"/>
      <charset val="204"/>
      <scheme val="minor"/>
    </font>
    <font>
      <b/>
      <sz val="16"/>
      <color theme="1"/>
      <name val="Arial Black"/>
      <family val="2"/>
      <charset val="204"/>
    </font>
    <font>
      <b/>
      <sz val="11"/>
      <color rgb="FFC0000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11"/>
      <color rgb="FF002060"/>
      <name val="Arial Black"/>
      <family val="2"/>
      <charset val="204"/>
    </font>
    <font>
      <sz val="12"/>
      <color rgb="FF0070C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rgb="FF0070C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6"/>
      <color rgb="FFC00000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sz val="14"/>
      <name val="Arial Black"/>
      <family val="2"/>
      <charset val="204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1" applyProtection="0">
      <alignment vertical="top"/>
    </xf>
    <xf numFmtId="0" fontId="30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0" fontId="0" fillId="0" borderId="1" xfId="0" applyBorder="1" applyAlignment="1">
      <alignment horizontal="left" vertical="top"/>
    </xf>
    <xf numFmtId="0" fontId="3" fillId="4" borderId="1" xfId="2" applyBorder="1" applyAlignment="1">
      <alignment horizontal="left" vertical="top"/>
    </xf>
    <xf numFmtId="0" fontId="3" fillId="3" borderId="1" xfId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/>
    <xf numFmtId="0" fontId="0" fillId="0" borderId="4" xfId="0" applyBorder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left" vertical="center" inden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1" xfId="0" applyFont="1" applyBorder="1"/>
    <xf numFmtId="0" fontId="15" fillId="0" borderId="1" xfId="0" applyFont="1" applyBorder="1"/>
    <xf numFmtId="0" fontId="10" fillId="0" borderId="1" xfId="0" applyFont="1" applyBorder="1"/>
    <xf numFmtId="0" fontId="16" fillId="0" borderId="0" xfId="0" applyFont="1"/>
    <xf numFmtId="0" fontId="0" fillId="0" borderId="0" xfId="0" applyAlignment="1">
      <alignment horizontal="left" vertical="center" indent="1"/>
    </xf>
    <xf numFmtId="0" fontId="17" fillId="0" borderId="0" xfId="0" applyFont="1"/>
    <xf numFmtId="0" fontId="14" fillId="0" borderId="0" xfId="0" applyFont="1"/>
    <xf numFmtId="0" fontId="18" fillId="0" borderId="0" xfId="0" applyFont="1"/>
    <xf numFmtId="0" fontId="6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0" fillId="0" borderId="0" xfId="0" applyFont="1"/>
    <xf numFmtId="0" fontId="22" fillId="0" borderId="0" xfId="0" applyFont="1"/>
    <xf numFmtId="0" fontId="23" fillId="5" borderId="1" xfId="0" applyFont="1" applyFill="1" applyBorder="1"/>
    <xf numFmtId="0" fontId="0" fillId="5" borderId="1" xfId="0" applyFill="1" applyBorder="1"/>
    <xf numFmtId="164" fontId="0" fillId="6" borderId="1" xfId="0" applyNumberForma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5" fillId="6" borderId="1" xfId="0" applyFont="1" applyFill="1" applyBorder="1" applyAlignment="1">
      <alignment horizontal="left" vertical="top"/>
    </xf>
    <xf numFmtId="14" fontId="1" fillId="2" borderId="7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0" fontId="24" fillId="0" borderId="0" xfId="0" applyFont="1"/>
    <xf numFmtId="0" fontId="21" fillId="0" borderId="0" xfId="0" applyFont="1"/>
    <xf numFmtId="0" fontId="26" fillId="0" borderId="0" xfId="0" applyFont="1" applyAlignment="1">
      <alignment horizontal="left" vertical="top"/>
    </xf>
    <xf numFmtId="0" fontId="25" fillId="0" borderId="0" xfId="0" applyFont="1" applyAlignment="1">
      <alignment vertical="center"/>
    </xf>
    <xf numFmtId="0" fontId="27" fillId="0" borderId="0" xfId="0" applyFont="1"/>
    <xf numFmtId="0" fontId="0" fillId="0" borderId="1" xfId="0" applyBorder="1" applyAlignment="1">
      <alignment vertical="top"/>
    </xf>
    <xf numFmtId="0" fontId="10" fillId="7" borderId="1" xfId="0" applyFont="1" applyFill="1" applyBorder="1"/>
    <xf numFmtId="14" fontId="0" fillId="0" borderId="5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3" xfId="0" applyBorder="1" applyAlignment="1">
      <alignment vertical="top"/>
    </xf>
    <xf numFmtId="14" fontId="0" fillId="0" borderId="9" xfId="0" applyNumberForma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2" xfId="0" applyBorder="1" applyAlignment="1">
      <alignment vertical="top"/>
    </xf>
    <xf numFmtId="0" fontId="28" fillId="0" borderId="0" xfId="0" applyFont="1"/>
    <xf numFmtId="14" fontId="0" fillId="0" borderId="1" xfId="0" applyNumberFormat="1" applyBorder="1"/>
    <xf numFmtId="0" fontId="21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0" fillId="0" borderId="1" xfId="0" applyBorder="1"/>
    <xf numFmtId="0" fontId="0" fillId="0" borderId="1" xfId="0" applyFont="1" applyBorder="1"/>
    <xf numFmtId="0" fontId="0" fillId="0" borderId="0" xfId="0" applyNumberFormat="1"/>
    <xf numFmtId="0" fontId="30" fillId="0" borderId="0" xfId="4"/>
    <xf numFmtId="0" fontId="29" fillId="0" borderId="1" xfId="0" applyFont="1" applyBorder="1"/>
    <xf numFmtId="0" fontId="31" fillId="0" borderId="1" xfId="0" applyFont="1" applyBorder="1"/>
    <xf numFmtId="0" fontId="31" fillId="7" borderId="1" xfId="0" applyFont="1" applyFill="1" applyBorder="1"/>
  </cellXfs>
  <cellStyles count="5">
    <cellStyle name="Акцент2" xfId="1" builtinId="33"/>
    <cellStyle name="Акцент3" xfId="2" builtinId="37"/>
    <cellStyle name="Гиперссылка" xfId="4" builtinId="8"/>
    <cellStyle name="норм" xfId="3" xr:uid="{476BB918-A712-4DC0-BC67-10BAAD988B84}"/>
    <cellStyle name="Обычный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FF00"/>
          <bgColor rgb="FF000000"/>
        </patternFill>
      </fill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dd/mm/yyyy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Times New Roman"/>
        <family val="1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29</xdr:row>
      <xdr:rowOff>66675</xdr:rowOff>
    </xdr:from>
    <xdr:to>
      <xdr:col>9</xdr:col>
      <xdr:colOff>47625</xdr:colOff>
      <xdr:row>30</xdr:row>
      <xdr:rowOff>0</xdr:rowOff>
    </xdr:to>
    <xdr:sp macro="" textlink="">
      <xdr:nvSpPr>
        <xdr:cNvPr id="2" name="Стрелка: вниз 1">
          <a:extLst>
            <a:ext uri="{FF2B5EF4-FFF2-40B4-BE49-F238E27FC236}">
              <a16:creationId xmlns:a16="http://schemas.microsoft.com/office/drawing/2014/main" id="{AAAC9266-03C0-B76F-9A80-8AB0A1768400}"/>
            </a:ext>
          </a:extLst>
        </xdr:cNvPr>
        <xdr:cNvSpPr/>
      </xdr:nvSpPr>
      <xdr:spPr>
        <a:xfrm>
          <a:off x="6553200" y="5800725"/>
          <a:ext cx="228600" cy="24765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0.700460416665" createdVersion="8" refreshedVersion="8" minRefreshableVersion="3" recordCount="9" xr:uid="{EF323262-86EC-4CAF-BD42-59060D1B695E}">
  <cacheSource type="worksheet">
    <worksheetSource name="Таблица6"/>
  </cacheSource>
  <cacheFields count="8">
    <cacheField name="Дата" numFmtId="14">
      <sharedItems containsSemiMixedTypes="0" containsNonDate="0" containsDate="1" containsString="0" minDate="2025-01-01T00:00:00" maxDate="2025-02-07T00:00:00" count="5">
        <d v="2025-01-01T00:00:00"/>
        <d v="2025-01-02T00:00:00"/>
        <d v="2025-01-03T00:00:00"/>
        <d v="2025-02-05T00:00:00"/>
        <d v="2025-02-06T00:00:00"/>
      </sharedItems>
      <fieldGroup par="7"/>
    </cacheField>
    <cacheField name="Регион" numFmtId="0">
      <sharedItems count="3">
        <s v="Запад"/>
        <s v="Восток"/>
        <s v="Юг"/>
      </sharedItems>
    </cacheField>
    <cacheField name="Менеджер" numFmtId="0">
      <sharedItems count="3">
        <s v="Иванов"/>
        <s v="Петров"/>
        <s v="Сидоров"/>
      </sharedItems>
    </cacheField>
    <cacheField name="Товар" numFmtId="0">
      <sharedItems count="5">
        <s v="Молоко"/>
        <s v="Хлеб"/>
        <s v="Яйца"/>
        <s v="Томаты"/>
        <s v="Огурцы"/>
      </sharedItems>
    </cacheField>
    <cacheField name="Кол-во" numFmtId="0">
      <sharedItems containsSemiMixedTypes="0" containsString="0" containsNumber="1" containsInteger="1" minValue="5" maxValue="20"/>
    </cacheField>
    <cacheField name="Цена" numFmtId="0">
      <sharedItems containsSemiMixedTypes="0" containsString="0" containsNumber="1" containsInteger="1" minValue="15" maxValue="80"/>
    </cacheField>
    <cacheField name="Дни (Дата)" numFmtId="0" databaseField="0">
      <fieldGroup base="0">
        <rangePr groupBy="days" startDate="2025-01-01T00:00:00" endDate="2025-02-07T00:00:00"/>
        <groupItems count="368">
          <s v="&lt;01.01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7.02.2025"/>
        </groupItems>
      </fieldGroup>
    </cacheField>
    <cacheField name="Месяцы (Дата)" numFmtId="0" databaseField="0">
      <fieldGroup base="0">
        <rangePr groupBy="months" startDate="2025-01-01T00:00:00" endDate="2025-02-07T00:00:00"/>
        <groupItems count="14">
          <s v="&lt;01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7.0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0.70046064815" createdVersion="8" refreshedVersion="8" minRefreshableVersion="3" recordCount="9" xr:uid="{CACE0306-FFF2-44D7-BAB3-96B397B9E9FF}">
  <cacheSource type="worksheet">
    <worksheetSource ref="A1:F10" sheet="свод_готов"/>
  </cacheSource>
  <cacheFields count="8">
    <cacheField name="Дата" numFmtId="14">
      <sharedItems containsSemiMixedTypes="0" containsNonDate="0" containsDate="1" containsString="0" minDate="2025-01-01T00:00:00" maxDate="2025-02-07T00:00:00" count="5">
        <d v="2025-01-01T00:00:00"/>
        <d v="2025-01-02T00:00:00"/>
        <d v="2025-01-03T00:00:00"/>
        <d v="2025-02-05T00:00:00"/>
        <d v="2025-02-06T00:00:00"/>
      </sharedItems>
      <fieldGroup par="7"/>
    </cacheField>
    <cacheField name="Регион" numFmtId="0">
      <sharedItems count="3">
        <s v="Запад"/>
        <s v="Восток"/>
        <s v="Юг"/>
      </sharedItems>
    </cacheField>
    <cacheField name="Менеджер" numFmtId="0">
      <sharedItems count="3">
        <s v="Иванов"/>
        <s v="Петров"/>
        <s v="Сидоров"/>
      </sharedItems>
    </cacheField>
    <cacheField name="Товар" numFmtId="0">
      <sharedItems count="5">
        <s v="Молоко"/>
        <s v="Хлеб"/>
        <s v="Яйца"/>
        <s v="Томаты"/>
        <s v="Огурцы"/>
      </sharedItems>
    </cacheField>
    <cacheField name="Кол-во" numFmtId="0">
      <sharedItems containsSemiMixedTypes="0" containsString="0" containsNumber="1" containsInteger="1" minValue="5" maxValue="20"/>
    </cacheField>
    <cacheField name="Цена" numFmtId="0">
      <sharedItems containsSemiMixedTypes="0" containsString="0" containsNumber="1" containsInteger="1" minValue="15" maxValue="80"/>
    </cacheField>
    <cacheField name="Дни (Дата)" numFmtId="0" databaseField="0">
      <fieldGroup base="0">
        <rangePr groupBy="days" startDate="2025-01-01T00:00:00" endDate="2025-02-07T00:00:00"/>
        <groupItems count="368">
          <s v="&lt;01.01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7.02.2025"/>
        </groupItems>
      </fieldGroup>
    </cacheField>
    <cacheField name="Месяцы (Дата)" numFmtId="0" databaseField="0">
      <fieldGroup base="0">
        <rangePr groupBy="months" startDate="2025-01-01T00:00:00" endDate="2025-02-07T00:00:00"/>
        <groupItems count="14">
          <s v="&lt;01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7.0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50"/>
  </r>
  <r>
    <x v="0"/>
    <x v="1"/>
    <x v="1"/>
    <x v="1"/>
    <n v="5"/>
    <n v="30"/>
  </r>
  <r>
    <x v="1"/>
    <x v="0"/>
    <x v="0"/>
    <x v="0"/>
    <n v="15"/>
    <n v="50"/>
  </r>
  <r>
    <x v="1"/>
    <x v="1"/>
    <x v="1"/>
    <x v="1"/>
    <n v="20"/>
    <n v="30"/>
  </r>
  <r>
    <x v="1"/>
    <x v="0"/>
    <x v="0"/>
    <x v="2"/>
    <n v="8"/>
    <n v="80"/>
  </r>
  <r>
    <x v="1"/>
    <x v="1"/>
    <x v="1"/>
    <x v="0"/>
    <n v="12"/>
    <n v="50"/>
  </r>
  <r>
    <x v="2"/>
    <x v="0"/>
    <x v="0"/>
    <x v="1"/>
    <n v="7"/>
    <n v="30"/>
  </r>
  <r>
    <x v="3"/>
    <x v="2"/>
    <x v="2"/>
    <x v="3"/>
    <n v="18"/>
    <n v="25"/>
  </r>
  <r>
    <x v="4"/>
    <x v="2"/>
    <x v="2"/>
    <x v="4"/>
    <n v="10"/>
    <n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50"/>
  </r>
  <r>
    <x v="0"/>
    <x v="1"/>
    <x v="1"/>
    <x v="1"/>
    <n v="5"/>
    <n v="30"/>
  </r>
  <r>
    <x v="1"/>
    <x v="0"/>
    <x v="0"/>
    <x v="0"/>
    <n v="15"/>
    <n v="50"/>
  </r>
  <r>
    <x v="1"/>
    <x v="1"/>
    <x v="1"/>
    <x v="1"/>
    <n v="20"/>
    <n v="30"/>
  </r>
  <r>
    <x v="1"/>
    <x v="0"/>
    <x v="0"/>
    <x v="2"/>
    <n v="8"/>
    <n v="80"/>
  </r>
  <r>
    <x v="1"/>
    <x v="1"/>
    <x v="1"/>
    <x v="0"/>
    <n v="12"/>
    <n v="50"/>
  </r>
  <r>
    <x v="2"/>
    <x v="0"/>
    <x v="0"/>
    <x v="1"/>
    <n v="7"/>
    <n v="30"/>
  </r>
  <r>
    <x v="3"/>
    <x v="2"/>
    <x v="2"/>
    <x v="3"/>
    <n v="18"/>
    <n v="25"/>
  </r>
  <r>
    <x v="4"/>
    <x v="2"/>
    <x v="2"/>
    <x v="4"/>
    <n v="1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350BF-6400-4A49-99DB-0112AC03E9E7}" name="Сводная таблица1" cacheId="4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J38:K50" firstHeaderRow="1" firstDataRow="1" firstDataCol="1"/>
  <pivotFields count="8">
    <pivotField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"/>
    <field x="7"/>
    <field x="6"/>
  </rowFields>
  <rowItems count="12">
    <i>
      <x/>
    </i>
    <i r="1">
      <x v="1"/>
    </i>
    <i r="2">
      <x v="1"/>
    </i>
    <i r="2">
      <x v="2"/>
    </i>
    <i>
      <x v="1"/>
    </i>
    <i r="1">
      <x v="1"/>
    </i>
    <i r="2">
      <x v="1"/>
    </i>
    <i r="2">
      <x v="2"/>
    </i>
    <i r="2">
      <x v="3"/>
    </i>
    <i>
      <x v="2"/>
    </i>
    <i r="1">
      <x v="2"/>
    </i>
    <i t="grand">
      <x/>
    </i>
  </rowItems>
  <colItems count="1">
    <i/>
  </colItems>
  <dataFields count="1">
    <dataField name="Сумма Цен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44A68-061B-4263-835C-C0CD4CE76C6D}" name="Сводная таблица2" cacheId="4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D37:D46" firstHeaderRow="1" firstDataRow="1" firstDataCol="1"/>
  <pivotFields count="8">
    <pivotField numFmtId="14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0"/>
        <item sd="0" x="4"/>
        <item sd="0" x="3"/>
        <item sd="0" x="1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3"/>
    <field x="2"/>
  </rowFields>
  <rowItems count="9">
    <i>
      <x/>
    </i>
    <i r="1">
      <x/>
    </i>
    <i r="1">
      <x v="1"/>
    </i>
    <i>
      <x v="1"/>
    </i>
    <i>
      <x v="2"/>
    </i>
    <i>
      <x v="3"/>
    </i>
    <i>
      <x v="4"/>
    </i>
    <i r="1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88139-A008-4909-8DF9-A42822989B7E}" name="Сводная таблица25" cacheId="3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M38:P48" firstHeaderRow="1" firstDataRow="4" firstDataCol="1"/>
  <pivotFields count="8">
    <pivotField axis="axisCol"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7">
    <i>
      <x/>
    </i>
    <i r="1">
      <x v="1"/>
    </i>
    <i>
      <x v="1"/>
    </i>
    <i r="1">
      <x/>
    </i>
    <i>
      <x v="2"/>
    </i>
    <i r="1">
      <x v="2"/>
    </i>
    <i t="grand">
      <x/>
    </i>
  </rowItems>
  <colFields count="3">
    <field x="7"/>
    <field x="6"/>
    <field x="0"/>
  </colFields>
  <colItems count="3">
    <i>
      <x v="1"/>
    </i>
    <i>
      <x v="2"/>
    </i>
    <i t="grand">
      <x/>
    </i>
  </colItems>
  <dataFields count="1">
    <dataField name="Сумма по полю Цен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E300B-3CE8-4405-899D-7CA196B52F76}" name="Сводная таблица24" cacheId="3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7:B48" firstHeaderRow="1" firstDataRow="1" firstDataCol="1"/>
  <pivotFields count="8">
    <pivotField numFmtId="14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3"/>
  </rowFields>
  <rowItems count="11">
    <i>
      <x/>
    </i>
    <i r="1">
      <x/>
    </i>
    <i r="1">
      <x v="3"/>
    </i>
    <i r="1">
      <x v="4"/>
    </i>
    <i>
      <x v="1"/>
    </i>
    <i r="1">
      <x/>
    </i>
    <i r="1">
      <x v="3"/>
    </i>
    <i>
      <x v="2"/>
    </i>
    <i r="1">
      <x v="1"/>
    </i>
    <i r="1">
      <x v="2"/>
    </i>
    <i t="grand">
      <x/>
    </i>
  </rowItems>
  <colItems count="1">
    <i/>
  </colItems>
  <dataFields count="1">
    <dataField name="Сумма по полю Цен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073492-3BD2-4ECB-8A39-FEE174A14CD6}" autoFormatId="16" applyNumberFormats="0" applyBorderFormats="0" applyFontFormats="0" applyPatternFormats="0" applyAlignmentFormats="0" applyWidthHeightFormats="0">
  <queryTableRefresh nextId="5">
    <queryTableFields count="4">
      <queryTableField id="1" name="Филиал" tableColumnId="5"/>
      <queryTableField id="2" name="Артикул" tableColumnId="2"/>
      <queryTableField id="3" name="Затраты" tableColumnId="3"/>
      <queryTableField id="4" name="Выручка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9CB9A9-E691-4843-9009-C2267FA6E6BC}" name="Таблица3" displayName="Таблица3" ref="A1:G11" totalsRowShown="0" headerRowDxfId="21" headerRowBorderDxfId="20" tableBorderDxfId="19" totalsRowBorderDxfId="18" dataCellStyle="Обычный">
  <autoFilter ref="A1:G11" xr:uid="{649CB9A9-E691-4843-9009-C2267FA6E6BC}"/>
  <tableColumns count="7">
    <tableColumn id="1" xr3:uid="{F9C72722-BBB5-48F9-AE90-8DF4B224CAC1}" name="Дата" dataDxfId="17" dataCellStyle="Обычный"/>
    <tableColumn id="2" xr3:uid="{32A6E727-7AA4-4F09-8793-3F05203F4C2C}" name="Регион" dataCellStyle="Обычный"/>
    <tableColumn id="3" xr3:uid="{82E6981E-6A6C-4414-B961-62D369F204E6}" name="Менеджер" dataCellStyle="Обычный"/>
    <tableColumn id="4" xr3:uid="{74B9DC68-3519-402B-BF92-9556AE48DA11}" name="Товар" dataCellStyle="Обычный"/>
    <tableColumn id="5" xr3:uid="{5A7746C5-30A5-47DD-A8EA-407DA865B1F1}" name="Кол-во" dataCellStyle="Обычный"/>
    <tableColumn id="6" xr3:uid="{065D2C13-0192-4DB6-B67D-B754FC0A21FB}" name="Цена" dataCellStyle="Обычный"/>
    <tableColumn id="12" xr3:uid="{D98A40CF-164E-41DF-B59F-A39FEF3A4228}" name="прибыль" dataDxfId="16" dataCellStyle="Обычный">
      <calculatedColumnFormula>PRODUCT(Таблица3[[#This Row],[Кол-во]],Таблица3[[#This Row],[Цена]])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F6C0FA-E964-49FD-889B-E77C94F64AFF}" name="Таблица6" displayName="Таблица6" ref="A1:F10" totalsRowShown="0" headerRowDxfId="15" dataDxfId="13" headerRowBorderDxfId="14" tableBorderDxfId="12" totalsRowBorderDxfId="11">
  <autoFilter ref="A1:F10" xr:uid="{A6F6C0FA-E964-49FD-889B-E77C94F64AFF}"/>
  <tableColumns count="6">
    <tableColumn id="1" xr3:uid="{5F923980-6BB4-462F-97AF-D435BDF5F2D3}" name="Дата" dataDxfId="10"/>
    <tableColumn id="2" xr3:uid="{A199E668-5A48-4A5B-9D94-E2BCEA7E7E6E}" name="Регион" dataDxfId="9"/>
    <tableColumn id="3" xr3:uid="{E649C500-9FF7-4314-8C11-B6E6FC441D6D}" name="Менеджер" dataDxfId="8"/>
    <tableColumn id="4" xr3:uid="{47C789D2-307B-47BA-8A1E-79F1957FC1AC}" name="Товар" dataDxfId="7"/>
    <tableColumn id="5" xr3:uid="{83111773-923F-42F1-9AFE-5DEEBFB67276}" name="Кол-во" dataDxfId="6"/>
    <tableColumn id="6" xr3:uid="{9726B4A2-CD18-45D3-812B-A513A488C003}" name="Цена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CB3E15-6A05-48C9-BDB1-93B547BB4FF2}" name="Таблица2" displayName="Таблица2" ref="A1:D25" totalsRowShown="0">
  <autoFilter ref="A1:D25" xr:uid="{80CB3E15-6A05-48C9-BDB1-93B547BB4FF2}"/>
  <tableColumns count="4">
    <tableColumn id="1" xr3:uid="{B9C40FB7-944E-48D5-888B-39FB490078C9}" name="Филиал"/>
    <tableColumn id="2" xr3:uid="{C70E9E8A-1EF0-4F7E-BCD3-9240FB2E8B99}" name="Артикул"/>
    <tableColumn id="3" xr3:uid="{81D1D514-E947-4768-A9DD-C2FFCF6DCA52}" name="Затраты"/>
    <tableColumn id="4" xr3:uid="{E1CBBC08-6419-4B69-9A9E-C2C2BB5C9ED8}" name="Выруч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144913-450E-452D-8428-CCCC55043880}" name="data2_ароп" displayName="data2_ароп" ref="A1:D33" tableType="queryTable" totalsRowShown="0">
  <autoFilter ref="A1:D33" xr:uid="{95144913-450E-452D-8428-CCCC55043880}"/>
  <tableColumns count="4">
    <tableColumn id="5" xr3:uid="{8B85211E-EA5D-4728-A6D8-39E96F9EDBF1}" uniqueName="5" name="Филиал" queryTableFieldId="1" dataDxfId="3"/>
    <tableColumn id="2" xr3:uid="{587D0E63-31FF-461F-A02A-1EB36BA90CEB}" uniqueName="2" name="Артикул" queryTableFieldId="2" dataDxfId="2"/>
    <tableColumn id="3" xr3:uid="{AC1BF7BE-FCCD-483E-9A9D-ED7DA1987995}" uniqueName="3" name="Затраты" queryTableFieldId="3" dataDxfId="1"/>
    <tableColumn id="4" xr3:uid="{A2AE4A55-E448-4E86-B6BE-E2DF2BBFD6BA}" uniqueName="4" name="Выручка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br.ru/currency_base/daily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2AA7-E7AC-4FA8-BF66-72CACF57C859}">
  <dimension ref="A1:Q29"/>
  <sheetViews>
    <sheetView zoomScaleNormal="100" workbookViewId="0">
      <selection activeCell="G29" sqref="G29"/>
    </sheetView>
  </sheetViews>
  <sheetFormatPr defaultRowHeight="15" x14ac:dyDescent="0.25"/>
  <cols>
    <col min="1" max="1" width="17.140625" customWidth="1"/>
    <col min="2" max="2" width="14.85546875" customWidth="1"/>
    <col min="3" max="3" width="10.85546875" customWidth="1"/>
    <col min="4" max="4" width="10.7109375" customWidth="1"/>
    <col min="5" max="5" width="18.140625" customWidth="1"/>
    <col min="6" max="6" width="12.85546875" customWidth="1"/>
    <col min="7" max="7" width="9.85546875" customWidth="1"/>
    <col min="17" max="17" width="13.140625" customWidth="1"/>
    <col min="18" max="18" width="12.42578125" customWidth="1"/>
  </cols>
  <sheetData>
    <row r="1" spans="1:17" ht="24.75" x14ac:dyDescent="0.5">
      <c r="A1" s="23" t="s">
        <v>50</v>
      </c>
      <c r="B1" s="23" t="s">
        <v>60</v>
      </c>
      <c r="C1" s="23" t="s">
        <v>61</v>
      </c>
      <c r="E1" s="24" t="s">
        <v>50</v>
      </c>
      <c r="F1" s="24" t="s">
        <v>60</v>
      </c>
      <c r="G1" s="24" t="s">
        <v>61</v>
      </c>
      <c r="K1" s="22" t="s">
        <v>59</v>
      </c>
    </row>
    <row r="2" spans="1:17" x14ac:dyDescent="0.25">
      <c r="A2" s="25" t="s">
        <v>62</v>
      </c>
      <c r="B2" s="25" t="s">
        <v>2</v>
      </c>
      <c r="C2" s="53">
        <v>80000</v>
      </c>
      <c r="E2" s="25" t="s">
        <v>62</v>
      </c>
      <c r="F2" s="25" t="s">
        <v>2</v>
      </c>
      <c r="G2" s="25">
        <v>80000</v>
      </c>
      <c r="I2">
        <v>1</v>
      </c>
      <c r="J2" s="30" t="s">
        <v>84</v>
      </c>
      <c r="K2" s="31"/>
      <c r="L2" s="31"/>
      <c r="M2" s="31"/>
      <c r="N2" s="31"/>
      <c r="O2" s="31"/>
      <c r="P2" s="31"/>
      <c r="Q2" s="31"/>
    </row>
    <row r="3" spans="1:17" ht="15.75" x14ac:dyDescent="0.25">
      <c r="A3" s="25" t="s">
        <v>63</v>
      </c>
      <c r="B3" s="25" t="s">
        <v>64</v>
      </c>
      <c r="C3" s="70">
        <v>60000</v>
      </c>
      <c r="E3" s="25" t="s">
        <v>63</v>
      </c>
      <c r="F3" s="25" t="s">
        <v>64</v>
      </c>
      <c r="G3" s="25">
        <v>60000</v>
      </c>
      <c r="J3" s="31">
        <v>1</v>
      </c>
      <c r="K3" s="28" t="s">
        <v>82</v>
      </c>
      <c r="L3" s="31"/>
      <c r="M3" s="31"/>
      <c r="N3" s="31"/>
      <c r="O3" s="31"/>
      <c r="P3" s="31"/>
      <c r="Q3" s="31"/>
    </row>
    <row r="4" spans="1:17" ht="15.75" x14ac:dyDescent="0.25">
      <c r="A4" s="25" t="s">
        <v>65</v>
      </c>
      <c r="B4" s="25" t="s">
        <v>66</v>
      </c>
      <c r="C4" s="25">
        <v>90000</v>
      </c>
      <c r="E4" s="25" t="s">
        <v>65</v>
      </c>
      <c r="F4" s="25" t="s">
        <v>66</v>
      </c>
      <c r="G4" s="25">
        <v>90000</v>
      </c>
      <c r="J4" s="31">
        <v>2</v>
      </c>
      <c r="K4" s="28" t="s">
        <v>80</v>
      </c>
      <c r="L4" s="31"/>
      <c r="M4" s="31"/>
      <c r="N4" s="31"/>
      <c r="O4" s="31"/>
      <c r="P4" s="31"/>
      <c r="Q4" s="31"/>
    </row>
    <row r="5" spans="1:17" x14ac:dyDescent="0.25">
      <c r="A5" s="25" t="s">
        <v>67</v>
      </c>
      <c r="B5" s="25" t="s">
        <v>68</v>
      </c>
      <c r="C5" s="70">
        <v>50000</v>
      </c>
      <c r="E5" s="25" t="s">
        <v>67</v>
      </c>
      <c r="F5" s="25" t="s">
        <v>68</v>
      </c>
      <c r="G5" s="25">
        <v>50000</v>
      </c>
      <c r="J5" s="31"/>
      <c r="K5" s="31"/>
      <c r="L5" s="31"/>
      <c r="M5" s="31"/>
      <c r="N5" s="31"/>
      <c r="O5" s="31"/>
      <c r="P5" s="31"/>
      <c r="Q5" s="31"/>
    </row>
    <row r="6" spans="1:17" x14ac:dyDescent="0.25">
      <c r="A6" s="25" t="s">
        <v>69</v>
      </c>
      <c r="B6" s="25" t="s">
        <v>66</v>
      </c>
      <c r="C6" s="71">
        <v>120000</v>
      </c>
      <c r="E6" s="25" t="s">
        <v>69</v>
      </c>
      <c r="F6" s="25" t="s">
        <v>66</v>
      </c>
      <c r="G6" s="25">
        <v>120000</v>
      </c>
      <c r="I6">
        <v>2</v>
      </c>
      <c r="J6" s="30" t="s">
        <v>83</v>
      </c>
      <c r="K6" s="31"/>
      <c r="L6" s="31"/>
      <c r="M6" s="31"/>
      <c r="N6" s="31"/>
      <c r="O6" s="31"/>
      <c r="P6" s="31"/>
      <c r="Q6" s="31"/>
    </row>
    <row r="7" spans="1:17" ht="15.75" x14ac:dyDescent="0.25">
      <c r="A7" s="25" t="s">
        <v>97</v>
      </c>
      <c r="B7" s="25" t="s">
        <v>66</v>
      </c>
      <c r="C7" s="72">
        <v>130000</v>
      </c>
      <c r="E7" s="25" t="s">
        <v>97</v>
      </c>
      <c r="F7" s="25" t="s">
        <v>66</v>
      </c>
      <c r="G7" s="25">
        <v>130000</v>
      </c>
      <c r="J7" s="31">
        <v>1</v>
      </c>
      <c r="K7" s="28" t="s">
        <v>82</v>
      </c>
      <c r="L7" s="31"/>
      <c r="M7" s="31"/>
      <c r="N7" s="31"/>
      <c r="O7" s="31"/>
      <c r="P7" s="31"/>
      <c r="Q7" s="31"/>
    </row>
    <row r="8" spans="1:17" ht="15.75" x14ac:dyDescent="0.25">
      <c r="A8" s="25" t="s">
        <v>70</v>
      </c>
      <c r="B8" s="25" t="s">
        <v>66</v>
      </c>
      <c r="C8" s="25">
        <v>90000</v>
      </c>
      <c r="E8" s="25" t="s">
        <v>70</v>
      </c>
      <c r="F8" s="25" t="s">
        <v>66</v>
      </c>
      <c r="G8" s="25">
        <v>90000</v>
      </c>
      <c r="J8" s="31">
        <v>2</v>
      </c>
      <c r="K8" s="28" t="s">
        <v>229</v>
      </c>
      <c r="L8" s="31"/>
      <c r="M8" s="31"/>
      <c r="N8" s="31"/>
      <c r="O8" s="31"/>
      <c r="P8" s="31"/>
      <c r="Q8" s="31"/>
    </row>
    <row r="9" spans="1:17" ht="15.75" x14ac:dyDescent="0.25">
      <c r="A9" s="25" t="s">
        <v>79</v>
      </c>
      <c r="B9" s="25" t="s">
        <v>64</v>
      </c>
      <c r="C9" s="25">
        <v>80000</v>
      </c>
      <c r="E9" s="25" t="s">
        <v>79</v>
      </c>
      <c r="F9" s="25" t="s">
        <v>64</v>
      </c>
      <c r="G9" s="25">
        <v>80000</v>
      </c>
      <c r="J9" s="31">
        <v>3</v>
      </c>
      <c r="K9" s="28" t="s">
        <v>90</v>
      </c>
      <c r="L9" s="31"/>
      <c r="M9" s="31"/>
      <c r="N9" s="31"/>
      <c r="O9" s="31"/>
      <c r="P9" s="31"/>
      <c r="Q9" s="31"/>
    </row>
    <row r="10" spans="1:17" ht="15.75" x14ac:dyDescent="0.25">
      <c r="A10" s="25" t="s">
        <v>96</v>
      </c>
      <c r="B10" s="25" t="s">
        <v>66</v>
      </c>
      <c r="C10" s="53">
        <v>120000</v>
      </c>
      <c r="E10" s="25" t="s">
        <v>96</v>
      </c>
      <c r="F10" s="25" t="s">
        <v>66</v>
      </c>
      <c r="G10" s="25">
        <v>120000</v>
      </c>
      <c r="J10" s="31">
        <v>4</v>
      </c>
      <c r="K10" s="28" t="s">
        <v>86</v>
      </c>
      <c r="L10" s="31"/>
      <c r="M10" s="31"/>
      <c r="N10" s="31"/>
      <c r="O10" s="31"/>
      <c r="P10" s="31"/>
      <c r="Q10" s="31"/>
    </row>
    <row r="11" spans="1:17" x14ac:dyDescent="0.25">
      <c r="A11" s="25" t="s">
        <v>95</v>
      </c>
      <c r="B11" s="25" t="s">
        <v>66</v>
      </c>
      <c r="C11" s="71">
        <v>130000</v>
      </c>
      <c r="E11" s="25" t="s">
        <v>95</v>
      </c>
      <c r="F11" s="25" t="s">
        <v>66</v>
      </c>
      <c r="G11" s="25">
        <v>130000</v>
      </c>
      <c r="J11" s="31"/>
      <c r="K11" s="31"/>
      <c r="L11" s="31"/>
      <c r="M11" s="31"/>
      <c r="N11" s="31"/>
      <c r="O11" s="31"/>
      <c r="P11" s="31"/>
      <c r="Q11" s="31"/>
    </row>
    <row r="12" spans="1:17" x14ac:dyDescent="0.25">
      <c r="A12" s="25" t="s">
        <v>71</v>
      </c>
      <c r="B12" s="25" t="s">
        <v>2</v>
      </c>
      <c r="C12" s="70">
        <v>80000</v>
      </c>
      <c r="E12" s="25" t="s">
        <v>71</v>
      </c>
      <c r="F12" s="25" t="s">
        <v>2</v>
      </c>
      <c r="G12" s="25">
        <v>80000</v>
      </c>
      <c r="I12">
        <v>3</v>
      </c>
      <c r="J12" s="30" t="s">
        <v>88</v>
      </c>
      <c r="K12" s="31"/>
      <c r="L12" s="31"/>
      <c r="M12" s="31"/>
      <c r="N12" s="31"/>
      <c r="O12" s="31"/>
      <c r="P12" s="31"/>
      <c r="Q12" s="31"/>
    </row>
    <row r="13" spans="1:17" ht="15.75" x14ac:dyDescent="0.25">
      <c r="A13" s="25" t="s">
        <v>72</v>
      </c>
      <c r="B13" s="25" t="s">
        <v>2</v>
      </c>
      <c r="C13" s="25">
        <v>85000</v>
      </c>
      <c r="E13" s="25" t="s">
        <v>72</v>
      </c>
      <c r="F13" s="25" t="s">
        <v>2</v>
      </c>
      <c r="G13" s="25">
        <v>85000</v>
      </c>
      <c r="J13" s="31">
        <v>1</v>
      </c>
      <c r="K13" s="28" t="s">
        <v>82</v>
      </c>
      <c r="L13" s="31"/>
      <c r="M13" s="31"/>
      <c r="N13" s="31"/>
      <c r="O13" s="31"/>
      <c r="P13" s="31"/>
      <c r="Q13" s="31"/>
    </row>
    <row r="14" spans="1:17" ht="15.75" x14ac:dyDescent="0.25">
      <c r="A14" s="25" t="s">
        <v>98</v>
      </c>
      <c r="B14" s="25" t="s">
        <v>2</v>
      </c>
      <c r="C14" s="25">
        <v>85000</v>
      </c>
      <c r="E14" s="25" t="s">
        <v>98</v>
      </c>
      <c r="F14" s="25" t="s">
        <v>2</v>
      </c>
      <c r="G14" s="25">
        <v>85000</v>
      </c>
      <c r="J14" s="31">
        <v>2</v>
      </c>
      <c r="K14" s="28" t="s">
        <v>85</v>
      </c>
      <c r="L14" s="31"/>
      <c r="M14" s="31"/>
      <c r="N14" s="31"/>
      <c r="O14" s="31"/>
      <c r="P14" s="31"/>
      <c r="Q14" s="31"/>
    </row>
    <row r="15" spans="1:17" ht="15.75" x14ac:dyDescent="0.25">
      <c r="A15" s="25" t="s">
        <v>78</v>
      </c>
      <c r="B15" s="25" t="s">
        <v>66</v>
      </c>
      <c r="C15" s="25">
        <v>120000</v>
      </c>
      <c r="E15" s="25" t="s">
        <v>78</v>
      </c>
      <c r="F15" s="25" t="s">
        <v>66</v>
      </c>
      <c r="G15" s="25">
        <v>120000</v>
      </c>
      <c r="J15" s="31">
        <v>3</v>
      </c>
      <c r="K15" s="28" t="s">
        <v>87</v>
      </c>
      <c r="L15" s="31"/>
      <c r="M15" s="31"/>
      <c r="N15" s="31"/>
      <c r="O15" s="31"/>
      <c r="P15" s="31"/>
      <c r="Q15" s="31"/>
    </row>
    <row r="16" spans="1:17" x14ac:dyDescent="0.25">
      <c r="A16" s="25" t="s">
        <v>74</v>
      </c>
      <c r="B16" s="25" t="s">
        <v>2</v>
      </c>
      <c r="C16" s="25">
        <v>85000</v>
      </c>
      <c r="E16" s="25" t="s">
        <v>74</v>
      </c>
      <c r="F16" s="25" t="s">
        <v>2</v>
      </c>
      <c r="G16" s="25">
        <v>85000</v>
      </c>
      <c r="J16" s="31"/>
      <c r="K16" s="31"/>
      <c r="L16" s="31"/>
      <c r="M16" s="31"/>
      <c r="N16" s="31"/>
      <c r="O16" s="31"/>
      <c r="P16" s="31"/>
      <c r="Q16" s="31"/>
    </row>
    <row r="17" spans="1:17" x14ac:dyDescent="0.25">
      <c r="A17" s="25" t="s">
        <v>75</v>
      </c>
      <c r="B17" s="25" t="s">
        <v>64</v>
      </c>
      <c r="C17" s="25">
        <v>80000</v>
      </c>
      <c r="E17" s="25" t="s">
        <v>75</v>
      </c>
      <c r="F17" s="25" t="s">
        <v>64</v>
      </c>
      <c r="G17" s="25">
        <v>80000</v>
      </c>
      <c r="I17">
        <v>4</v>
      </c>
      <c r="J17" s="30" t="s">
        <v>89</v>
      </c>
      <c r="K17" s="31"/>
      <c r="L17" s="31"/>
      <c r="M17" s="31"/>
      <c r="N17" s="31"/>
      <c r="O17" s="31"/>
      <c r="P17" s="31"/>
      <c r="Q17" s="31"/>
    </row>
    <row r="18" spans="1:17" ht="15.75" x14ac:dyDescent="0.25">
      <c r="A18" s="25" t="s">
        <v>76</v>
      </c>
      <c r="B18" s="25" t="s">
        <v>64</v>
      </c>
      <c r="C18" s="53">
        <v>110000</v>
      </c>
      <c r="E18" s="25" t="s">
        <v>76</v>
      </c>
      <c r="F18" s="25" t="s">
        <v>64</v>
      </c>
      <c r="G18" s="25">
        <v>110000</v>
      </c>
      <c r="J18" s="31">
        <v>1</v>
      </c>
      <c r="K18" s="28" t="s">
        <v>82</v>
      </c>
      <c r="L18" s="31"/>
      <c r="M18" s="31"/>
      <c r="N18" s="31"/>
      <c r="O18" s="31"/>
      <c r="P18" s="31"/>
      <c r="Q18" s="31"/>
    </row>
    <row r="19" spans="1:17" ht="15.75" x14ac:dyDescent="0.25">
      <c r="A19" s="25" t="s">
        <v>77</v>
      </c>
      <c r="B19" s="25" t="s">
        <v>64</v>
      </c>
      <c r="C19" s="25">
        <v>110000</v>
      </c>
      <c r="E19" s="25" t="s">
        <v>77</v>
      </c>
      <c r="F19" s="25" t="s">
        <v>64</v>
      </c>
      <c r="G19" s="25">
        <v>110000</v>
      </c>
      <c r="J19" s="31">
        <v>2</v>
      </c>
      <c r="K19" s="28" t="s">
        <v>85</v>
      </c>
      <c r="L19" s="31"/>
      <c r="M19" s="31"/>
      <c r="N19" s="31"/>
      <c r="O19" s="31"/>
      <c r="P19" s="31"/>
      <c r="Q19" s="31"/>
    </row>
    <row r="20" spans="1:17" ht="15.75" x14ac:dyDescent="0.25">
      <c r="A20" s="25" t="s">
        <v>73</v>
      </c>
      <c r="B20" s="25" t="s">
        <v>2</v>
      </c>
      <c r="C20" s="25">
        <v>85000</v>
      </c>
      <c r="E20" s="25" t="s">
        <v>73</v>
      </c>
      <c r="F20" s="25" t="s">
        <v>2</v>
      </c>
      <c r="G20" s="25">
        <v>85000</v>
      </c>
      <c r="J20" s="31">
        <v>3</v>
      </c>
      <c r="K20" s="28" t="s">
        <v>93</v>
      </c>
      <c r="L20" s="31"/>
      <c r="M20" s="31"/>
      <c r="N20" s="31"/>
      <c r="O20" s="31"/>
      <c r="P20" s="31"/>
      <c r="Q20" s="31"/>
    </row>
    <row r="21" spans="1:17" ht="15.75" x14ac:dyDescent="0.25">
      <c r="A21" s="25" t="s">
        <v>94</v>
      </c>
      <c r="B21" s="25" t="s">
        <v>2</v>
      </c>
      <c r="C21" s="25">
        <v>80000</v>
      </c>
      <c r="E21" s="25" t="s">
        <v>94</v>
      </c>
      <c r="F21" s="25" t="s">
        <v>2</v>
      </c>
      <c r="G21" s="25">
        <v>80000</v>
      </c>
      <c r="J21" s="31"/>
      <c r="K21" s="31"/>
      <c r="L21" s="28" t="s">
        <v>91</v>
      </c>
      <c r="M21" s="31"/>
      <c r="N21" s="31"/>
      <c r="O21" s="31"/>
      <c r="P21" s="31"/>
      <c r="Q21" s="31"/>
    </row>
    <row r="22" spans="1:17" ht="15.75" x14ac:dyDescent="0.25">
      <c r="A22" s="67"/>
      <c r="B22" s="67"/>
      <c r="C22" s="67"/>
      <c r="J22" s="31"/>
      <c r="K22" s="31"/>
      <c r="L22" s="28" t="s">
        <v>92</v>
      </c>
      <c r="M22" s="31"/>
      <c r="N22" s="31"/>
      <c r="O22" s="31"/>
      <c r="P22" s="31"/>
      <c r="Q22" s="31"/>
    </row>
    <row r="23" spans="1:17" ht="18.75" x14ac:dyDescent="0.4">
      <c r="E23" s="26" t="s">
        <v>81</v>
      </c>
      <c r="J23" s="31">
        <v>4</v>
      </c>
      <c r="K23" s="28" t="s">
        <v>86</v>
      </c>
      <c r="L23" s="31"/>
      <c r="M23" s="31"/>
      <c r="N23" s="31"/>
      <c r="O23" s="31"/>
      <c r="P23" s="31"/>
      <c r="Q23" s="31"/>
    </row>
    <row r="24" spans="1:17" x14ac:dyDescent="0.25">
      <c r="J24" s="31"/>
      <c r="K24" s="31"/>
      <c r="L24" s="31"/>
      <c r="M24" s="31"/>
      <c r="N24" s="31"/>
      <c r="O24" s="31"/>
      <c r="P24" s="31"/>
      <c r="Q24" s="31"/>
    </row>
    <row r="25" spans="1:17" x14ac:dyDescent="0.25">
      <c r="J25" s="31"/>
      <c r="K25" s="31"/>
      <c r="L25" s="31"/>
      <c r="M25" s="31"/>
      <c r="N25" s="31"/>
      <c r="O25" s="31"/>
      <c r="P25" s="31"/>
      <c r="Q25" s="31"/>
    </row>
    <row r="26" spans="1:17" x14ac:dyDescent="0.25">
      <c r="I26" s="29" t="s">
        <v>233</v>
      </c>
    </row>
    <row r="27" spans="1:17" x14ac:dyDescent="0.25">
      <c r="H27">
        <v>1</v>
      </c>
      <c r="I27" s="16" t="s">
        <v>234</v>
      </c>
    </row>
    <row r="28" spans="1:17" x14ac:dyDescent="0.25">
      <c r="H28">
        <v>2</v>
      </c>
      <c r="I28" s="16" t="s">
        <v>235</v>
      </c>
    </row>
    <row r="29" spans="1:17" x14ac:dyDescent="0.25">
      <c r="H29">
        <v>3</v>
      </c>
      <c r="I29" s="16" t="s">
        <v>236</v>
      </c>
    </row>
  </sheetData>
  <sortState xmlns:xlrd2="http://schemas.microsoft.com/office/spreadsheetml/2017/richdata2" caseSensitive="1" ref="A2:C22">
    <sortCondition sortBy="cellColor" ref="B2:B22" dxfId="4"/>
    <sortCondition ref="A2:A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7184-26DF-4B75-B0F9-2DC2F7958632}">
  <dimension ref="A1:S32"/>
  <sheetViews>
    <sheetView workbookViewId="0">
      <selection activeCell="B20" sqref="B20"/>
    </sheetView>
  </sheetViews>
  <sheetFormatPr defaultRowHeight="15" x14ac:dyDescent="0.25"/>
  <cols>
    <col min="1" max="1" width="19.140625" customWidth="1"/>
    <col min="2" max="3" width="14.140625" customWidth="1"/>
    <col min="5" max="5" width="19" customWidth="1"/>
    <col min="6" max="6" width="14.28515625" customWidth="1"/>
    <col min="7" max="7" width="7.5703125" customWidth="1"/>
  </cols>
  <sheetData>
    <row r="1" spans="1:19" ht="24.75" x14ac:dyDescent="0.5">
      <c r="A1" s="24" t="s">
        <v>50</v>
      </c>
      <c r="B1" s="24" t="s">
        <v>60</v>
      </c>
      <c r="C1" s="24" t="s">
        <v>61</v>
      </c>
      <c r="E1" s="24" t="s">
        <v>50</v>
      </c>
      <c r="F1" s="24" t="s">
        <v>60</v>
      </c>
      <c r="G1" s="24" t="s">
        <v>61</v>
      </c>
      <c r="K1" s="22" t="s">
        <v>101</v>
      </c>
    </row>
    <row r="2" spans="1:19" ht="15.75" x14ac:dyDescent="0.25">
      <c r="A2" s="25" t="s">
        <v>62</v>
      </c>
      <c r="B2" s="25" t="s">
        <v>2</v>
      </c>
      <c r="C2" s="25">
        <v>80000</v>
      </c>
      <c r="E2" s="25" t="s">
        <v>62</v>
      </c>
      <c r="F2" s="25" t="s">
        <v>2</v>
      </c>
      <c r="G2" s="25">
        <v>80000</v>
      </c>
      <c r="I2">
        <v>1</v>
      </c>
      <c r="J2" s="33" t="s">
        <v>111</v>
      </c>
      <c r="K2" s="31"/>
      <c r="L2" s="31"/>
    </row>
    <row r="3" spans="1:19" ht="15.75" x14ac:dyDescent="0.25">
      <c r="A3" s="25" t="s">
        <v>63</v>
      </c>
      <c r="B3" s="25" t="s">
        <v>64</v>
      </c>
      <c r="C3" s="25">
        <v>60000</v>
      </c>
      <c r="E3" s="25" t="s">
        <v>63</v>
      </c>
      <c r="F3" s="25" t="s">
        <v>64</v>
      </c>
      <c r="G3" s="25">
        <v>60000</v>
      </c>
      <c r="J3" s="31">
        <v>1</v>
      </c>
      <c r="K3" s="28" t="s">
        <v>82</v>
      </c>
      <c r="L3" s="31"/>
    </row>
    <row r="4" spans="1:19" ht="15.75" x14ac:dyDescent="0.25">
      <c r="A4" s="25" t="s">
        <v>65</v>
      </c>
      <c r="B4" s="25" t="s">
        <v>66</v>
      </c>
      <c r="C4" s="25">
        <v>90000</v>
      </c>
      <c r="E4" s="25" t="s">
        <v>65</v>
      </c>
      <c r="F4" s="25" t="s">
        <v>66</v>
      </c>
      <c r="G4" s="25">
        <v>90000</v>
      </c>
      <c r="J4" s="31">
        <v>2</v>
      </c>
      <c r="K4" s="28" t="s">
        <v>102</v>
      </c>
      <c r="L4" s="31"/>
    </row>
    <row r="5" spans="1:19" ht="15.75" x14ac:dyDescent="0.25">
      <c r="A5" s="25" t="s">
        <v>67</v>
      </c>
      <c r="B5" s="25" t="s">
        <v>68</v>
      </c>
      <c r="C5" s="25">
        <v>50000</v>
      </c>
      <c r="E5" s="25" t="s">
        <v>67</v>
      </c>
      <c r="F5" s="25" t="s">
        <v>68</v>
      </c>
      <c r="G5" s="25">
        <v>50000</v>
      </c>
      <c r="J5" s="31">
        <v>3</v>
      </c>
      <c r="K5" s="28" t="s">
        <v>103</v>
      </c>
      <c r="L5" s="31"/>
    </row>
    <row r="6" spans="1:19" ht="15.75" x14ac:dyDescent="0.25">
      <c r="A6" s="25" t="s">
        <v>69</v>
      </c>
      <c r="B6" s="25" t="s">
        <v>66</v>
      </c>
      <c r="C6" s="25">
        <v>120000</v>
      </c>
      <c r="E6" s="25" t="s">
        <v>69</v>
      </c>
      <c r="F6" s="25" t="s">
        <v>66</v>
      </c>
      <c r="G6" s="25">
        <v>120000</v>
      </c>
      <c r="J6" s="31">
        <v>4</v>
      </c>
      <c r="K6" s="28" t="s">
        <v>104</v>
      </c>
    </row>
    <row r="7" spans="1:19" x14ac:dyDescent="0.25">
      <c r="A7" s="25" t="s">
        <v>97</v>
      </c>
      <c r="B7" s="53" t="s">
        <v>66</v>
      </c>
      <c r="C7" s="25">
        <v>130000</v>
      </c>
      <c r="E7" s="25" t="s">
        <v>97</v>
      </c>
      <c r="F7" s="25" t="s">
        <v>66</v>
      </c>
      <c r="G7" s="25">
        <v>130000</v>
      </c>
    </row>
    <row r="8" spans="1:19" x14ac:dyDescent="0.25">
      <c r="A8" s="25" t="s">
        <v>70</v>
      </c>
      <c r="B8" s="25" t="s">
        <v>66</v>
      </c>
      <c r="C8" s="25">
        <v>90000</v>
      </c>
      <c r="E8" s="25" t="s">
        <v>70</v>
      </c>
      <c r="F8" s="25" t="s">
        <v>66</v>
      </c>
      <c r="G8" s="25">
        <v>90000</v>
      </c>
    </row>
    <row r="9" spans="1:19" x14ac:dyDescent="0.25">
      <c r="A9" s="25" t="s">
        <v>79</v>
      </c>
      <c r="B9" s="25" t="s">
        <v>64</v>
      </c>
      <c r="C9" s="25">
        <v>80000</v>
      </c>
      <c r="E9" s="25" t="s">
        <v>79</v>
      </c>
      <c r="F9" s="25" t="s">
        <v>64</v>
      </c>
      <c r="G9" s="25">
        <v>80000</v>
      </c>
    </row>
    <row r="10" spans="1:19" ht="15.75" x14ac:dyDescent="0.25">
      <c r="A10" s="25" t="s">
        <v>96</v>
      </c>
      <c r="B10" s="25" t="s">
        <v>66</v>
      </c>
      <c r="C10" s="25">
        <v>120000</v>
      </c>
      <c r="E10" s="25" t="s">
        <v>96</v>
      </c>
      <c r="F10" s="25" t="s">
        <v>66</v>
      </c>
      <c r="G10" s="25">
        <v>120000</v>
      </c>
      <c r="I10">
        <v>2</v>
      </c>
      <c r="J10" s="33" t="s">
        <v>105</v>
      </c>
    </row>
    <row r="11" spans="1:19" x14ac:dyDescent="0.25">
      <c r="A11" s="25" t="s">
        <v>95</v>
      </c>
      <c r="B11" s="53" t="s">
        <v>66</v>
      </c>
      <c r="C11" s="25">
        <v>130000</v>
      </c>
      <c r="E11" s="25" t="s">
        <v>95</v>
      </c>
      <c r="F11" s="25" t="s">
        <v>66</v>
      </c>
      <c r="G11" s="25">
        <v>130000</v>
      </c>
      <c r="J11">
        <v>1</v>
      </c>
      <c r="K11" s="64" t="s">
        <v>106</v>
      </c>
      <c r="L11" s="65"/>
      <c r="M11" s="65"/>
      <c r="N11" s="65"/>
      <c r="O11" s="65"/>
      <c r="P11" s="65"/>
      <c r="Q11" s="65"/>
      <c r="R11" s="65"/>
      <c r="S11" s="65"/>
    </row>
    <row r="12" spans="1:19" x14ac:dyDescent="0.25">
      <c r="A12" s="25" t="s">
        <v>71</v>
      </c>
      <c r="B12" s="25" t="s">
        <v>2</v>
      </c>
      <c r="C12" s="25">
        <v>80000</v>
      </c>
      <c r="E12" s="25" t="s">
        <v>71</v>
      </c>
      <c r="F12" s="25" t="s">
        <v>2</v>
      </c>
      <c r="G12" s="25">
        <v>80000</v>
      </c>
      <c r="K12" s="65"/>
      <c r="L12" s="65"/>
      <c r="M12" s="65"/>
      <c r="N12" s="65"/>
      <c r="O12" s="65"/>
      <c r="P12" s="65"/>
      <c r="Q12" s="65"/>
      <c r="R12" s="65"/>
      <c r="S12" s="65"/>
    </row>
    <row r="13" spans="1:19" x14ac:dyDescent="0.25">
      <c r="A13" s="25" t="s">
        <v>72</v>
      </c>
      <c r="B13" s="25" t="s">
        <v>2</v>
      </c>
      <c r="C13" s="25">
        <v>85000</v>
      </c>
      <c r="E13" s="25" t="s">
        <v>72</v>
      </c>
      <c r="F13" s="25" t="s">
        <v>2</v>
      </c>
      <c r="G13" s="25">
        <v>85000</v>
      </c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A14" s="25" t="s">
        <v>98</v>
      </c>
      <c r="B14" s="25" t="s">
        <v>2</v>
      </c>
      <c r="C14" s="25">
        <v>85000</v>
      </c>
      <c r="E14" s="25" t="s">
        <v>98</v>
      </c>
      <c r="F14" s="25" t="s">
        <v>2</v>
      </c>
      <c r="G14" s="25">
        <v>85000</v>
      </c>
      <c r="J14">
        <v>2</v>
      </c>
      <c r="K14" s="64" t="s">
        <v>107</v>
      </c>
      <c r="L14" s="65"/>
      <c r="M14" s="65"/>
      <c r="N14" s="65"/>
      <c r="O14" s="65"/>
      <c r="P14" s="65"/>
      <c r="Q14" s="65"/>
      <c r="R14" s="65"/>
      <c r="S14" s="65"/>
    </row>
    <row r="15" spans="1:19" x14ac:dyDescent="0.25">
      <c r="A15" s="25" t="s">
        <v>78</v>
      </c>
      <c r="B15" s="25" t="s">
        <v>66</v>
      </c>
      <c r="C15" s="25">
        <v>120000</v>
      </c>
      <c r="E15" s="25" t="s">
        <v>78</v>
      </c>
      <c r="F15" s="25" t="s">
        <v>66</v>
      </c>
      <c r="G15" s="25">
        <v>120000</v>
      </c>
      <c r="K15" s="65"/>
      <c r="L15" s="65"/>
      <c r="M15" s="65"/>
      <c r="N15" s="65"/>
      <c r="O15" s="65"/>
      <c r="P15" s="65"/>
      <c r="Q15" s="65"/>
      <c r="R15" s="65"/>
      <c r="S15" s="65"/>
    </row>
    <row r="16" spans="1:19" x14ac:dyDescent="0.25">
      <c r="A16" s="25" t="s">
        <v>74</v>
      </c>
      <c r="B16" s="25" t="s">
        <v>2</v>
      </c>
      <c r="C16" s="25">
        <v>85000</v>
      </c>
      <c r="E16" s="25" t="s">
        <v>74</v>
      </c>
      <c r="F16" s="25" t="s">
        <v>2</v>
      </c>
      <c r="G16" s="25">
        <v>85000</v>
      </c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s="25" t="s">
        <v>75</v>
      </c>
      <c r="B17" s="25" t="s">
        <v>64</v>
      </c>
      <c r="C17" s="25">
        <v>80000</v>
      </c>
      <c r="E17" s="25" t="s">
        <v>75</v>
      </c>
      <c r="F17" s="25" t="s">
        <v>64</v>
      </c>
      <c r="G17" s="25">
        <v>80000</v>
      </c>
      <c r="J17">
        <v>3</v>
      </c>
      <c r="K17" s="64" t="s">
        <v>108</v>
      </c>
      <c r="L17" s="65"/>
      <c r="M17" s="65"/>
      <c r="N17" s="65"/>
      <c r="O17" s="65"/>
      <c r="P17" s="65"/>
      <c r="Q17" s="65"/>
      <c r="R17" s="65"/>
      <c r="S17" s="65"/>
    </row>
    <row r="18" spans="1:19" x14ac:dyDescent="0.25">
      <c r="A18" s="25" t="s">
        <v>76</v>
      </c>
      <c r="B18" s="25" t="s">
        <v>64</v>
      </c>
      <c r="C18" s="25">
        <v>110000</v>
      </c>
      <c r="E18" s="25" t="s">
        <v>76</v>
      </c>
      <c r="F18" s="25" t="s">
        <v>64</v>
      </c>
      <c r="G18" s="25">
        <v>110000</v>
      </c>
      <c r="K18" s="65"/>
      <c r="L18" s="65"/>
      <c r="M18" s="65"/>
      <c r="N18" s="65"/>
      <c r="O18" s="65"/>
      <c r="P18" s="65"/>
      <c r="Q18" s="65"/>
      <c r="R18" s="65"/>
      <c r="S18" s="65"/>
    </row>
    <row r="19" spans="1:19" x14ac:dyDescent="0.25">
      <c r="A19" s="25" t="s">
        <v>77</v>
      </c>
      <c r="B19" s="25" t="s">
        <v>64</v>
      </c>
      <c r="C19" s="25">
        <v>110000</v>
      </c>
      <c r="E19" s="25" t="s">
        <v>77</v>
      </c>
      <c r="F19" s="25" t="s">
        <v>64</v>
      </c>
      <c r="G19" s="25">
        <v>110000</v>
      </c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25" t="s">
        <v>73</v>
      </c>
      <c r="B20" s="53" t="s">
        <v>2</v>
      </c>
      <c r="C20" s="25">
        <v>85000</v>
      </c>
      <c r="E20" s="25" t="s">
        <v>73</v>
      </c>
      <c r="F20" s="25" t="s">
        <v>2</v>
      </c>
      <c r="G20" s="25">
        <v>85000</v>
      </c>
      <c r="J20">
        <v>4</v>
      </c>
      <c r="K20" s="64" t="s">
        <v>109</v>
      </c>
      <c r="L20" s="65"/>
      <c r="M20" s="65"/>
      <c r="N20" s="65"/>
      <c r="O20" s="65"/>
      <c r="P20" s="65"/>
      <c r="Q20" s="65"/>
      <c r="R20" s="65"/>
      <c r="S20" s="65"/>
    </row>
    <row r="21" spans="1:19" x14ac:dyDescent="0.25">
      <c r="A21" s="25" t="s">
        <v>94</v>
      </c>
      <c r="B21" s="25" t="s">
        <v>2</v>
      </c>
      <c r="C21" s="25">
        <v>80000</v>
      </c>
      <c r="E21" s="25" t="s">
        <v>94</v>
      </c>
      <c r="F21" s="25" t="s">
        <v>2</v>
      </c>
      <c r="G21" s="25">
        <v>80000</v>
      </c>
      <c r="K21" s="65"/>
      <c r="L21" s="65"/>
      <c r="M21" s="65"/>
      <c r="N21" s="65"/>
      <c r="O21" s="65"/>
      <c r="P21" s="65"/>
      <c r="Q21" s="65"/>
      <c r="R21" s="65"/>
      <c r="S21" s="65"/>
    </row>
    <row r="23" spans="1:19" ht="18.75" x14ac:dyDescent="0.4">
      <c r="E23" s="26" t="s">
        <v>81</v>
      </c>
      <c r="K23" s="48" t="s">
        <v>226</v>
      </c>
    </row>
    <row r="24" spans="1:19" ht="15.75" x14ac:dyDescent="0.25">
      <c r="I24">
        <v>3</v>
      </c>
      <c r="J24" s="33" t="s">
        <v>110</v>
      </c>
    </row>
    <row r="25" spans="1:19" x14ac:dyDescent="0.25">
      <c r="K25" t="s">
        <v>115</v>
      </c>
    </row>
    <row r="26" spans="1:19" ht="15" customHeight="1" x14ac:dyDescent="0.25">
      <c r="K26" s="28" t="s">
        <v>114</v>
      </c>
      <c r="L26" s="28"/>
      <c r="M26" s="28"/>
    </row>
    <row r="27" spans="1:19" ht="15" customHeight="1" x14ac:dyDescent="0.25">
      <c r="K27" s="28" t="s">
        <v>112</v>
      </c>
      <c r="L27" s="28"/>
      <c r="M27" s="28"/>
    </row>
    <row r="28" spans="1:19" ht="15" customHeight="1" x14ac:dyDescent="0.25">
      <c r="K28" s="28" t="s">
        <v>113</v>
      </c>
      <c r="L28" s="28"/>
      <c r="M28" s="28"/>
    </row>
    <row r="30" spans="1:19" ht="18" customHeight="1" x14ac:dyDescent="0.25"/>
    <row r="31" spans="1:19" ht="18" customHeight="1" x14ac:dyDescent="0.25"/>
    <row r="32" spans="1:19" ht="13.5" customHeight="1" x14ac:dyDescent="0.25"/>
  </sheetData>
  <autoFilter ref="A1:C21" xr:uid="{76637184-26DF-4B75-B0F9-2DC2F7958632}"/>
  <mergeCells count="4">
    <mergeCell ref="K11:S12"/>
    <mergeCell ref="K14:S15"/>
    <mergeCell ref="K17:S18"/>
    <mergeCell ref="K20:S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C096-CB24-4F91-99E6-554571D6E9C1}">
  <dimension ref="A1:R57"/>
  <sheetViews>
    <sheetView tabSelected="1" zoomScale="82" zoomScaleNormal="82" workbookViewId="0">
      <selection activeCell="I32" sqref="I32"/>
    </sheetView>
  </sheetViews>
  <sheetFormatPr defaultRowHeight="15" x14ac:dyDescent="0.25"/>
  <cols>
    <col min="1" max="1" width="35.140625" customWidth="1"/>
    <col min="2" max="4" width="14.7109375" customWidth="1"/>
  </cols>
  <sheetData>
    <row r="1" spans="1:18" ht="22.5" x14ac:dyDescent="0.45">
      <c r="A1" t="s">
        <v>42</v>
      </c>
      <c r="G1" s="18" t="s">
        <v>120</v>
      </c>
    </row>
    <row r="2" spans="1:18" ht="15.75" x14ac:dyDescent="0.25">
      <c r="A2" t="s">
        <v>121</v>
      </c>
      <c r="G2" s="37" t="s">
        <v>123</v>
      </c>
      <c r="H2" s="38"/>
    </row>
    <row r="3" spans="1:18" ht="15.75" x14ac:dyDescent="0.25">
      <c r="A3" s="7" t="s">
        <v>25</v>
      </c>
      <c r="G3" s="38">
        <v>1</v>
      </c>
      <c r="H3" s="35" t="s">
        <v>137</v>
      </c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5.75" x14ac:dyDescent="0.25">
      <c r="A4" s="7" t="s">
        <v>26</v>
      </c>
      <c r="G4" s="38"/>
      <c r="H4" s="35"/>
      <c r="I4" s="28" t="s">
        <v>138</v>
      </c>
      <c r="J4" s="28"/>
      <c r="K4" s="28"/>
      <c r="L4" s="28"/>
      <c r="M4" s="28"/>
      <c r="N4" s="28"/>
      <c r="O4" s="28"/>
      <c r="P4" s="28"/>
      <c r="Q4" s="28"/>
      <c r="R4" s="28"/>
    </row>
    <row r="5" spans="1:18" ht="15.75" x14ac:dyDescent="0.25">
      <c r="A5" s="7" t="s">
        <v>27</v>
      </c>
      <c r="G5" s="38">
        <v>2</v>
      </c>
      <c r="H5" s="35" t="s">
        <v>124</v>
      </c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15.75" x14ac:dyDescent="0.25">
      <c r="A6" s="7" t="s">
        <v>24</v>
      </c>
      <c r="B6" s="11">
        <v>45658</v>
      </c>
      <c r="C6" s="11">
        <v>45689</v>
      </c>
      <c r="D6" s="11">
        <v>45717</v>
      </c>
      <c r="H6" s="35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18" ht="15.75" x14ac:dyDescent="0.25">
      <c r="A7" s="9" t="s">
        <v>29</v>
      </c>
      <c r="B7" s="7">
        <v>471300</v>
      </c>
      <c r="C7" s="7">
        <v>208300</v>
      </c>
      <c r="D7" s="7">
        <v>263000</v>
      </c>
      <c r="G7" s="33" t="s">
        <v>125</v>
      </c>
      <c r="H7" s="28"/>
      <c r="I7" s="28"/>
      <c r="J7" s="28"/>
      <c r="K7" s="28"/>
      <c r="L7" s="28"/>
      <c r="M7" s="28"/>
      <c r="N7" s="28"/>
      <c r="O7" s="28"/>
    </row>
    <row r="8" spans="1:18" ht="15.75" x14ac:dyDescent="0.25">
      <c r="A8" s="8" t="s">
        <v>30</v>
      </c>
      <c r="B8" s="7">
        <v>301500</v>
      </c>
      <c r="C8" s="7">
        <v>137000</v>
      </c>
      <c r="D8" s="7">
        <v>164500</v>
      </c>
      <c r="G8" s="27"/>
      <c r="H8" s="28"/>
      <c r="I8" s="28"/>
      <c r="J8" s="28"/>
      <c r="K8" s="28"/>
      <c r="L8" s="28"/>
      <c r="M8" s="28"/>
      <c r="N8" s="28"/>
      <c r="O8" s="28"/>
    </row>
    <row r="9" spans="1:18" ht="15.75" x14ac:dyDescent="0.25">
      <c r="A9" s="7" t="s">
        <v>31</v>
      </c>
      <c r="B9" s="7">
        <v>35300</v>
      </c>
      <c r="C9" s="7">
        <v>12900</v>
      </c>
      <c r="D9" s="7">
        <v>22400</v>
      </c>
      <c r="G9" s="34" t="s">
        <v>126</v>
      </c>
    </row>
    <row r="10" spans="1:18" ht="15.75" x14ac:dyDescent="0.25">
      <c r="A10" s="7" t="s">
        <v>44</v>
      </c>
      <c r="B10" s="7">
        <v>9000</v>
      </c>
      <c r="C10" s="7">
        <v>3000</v>
      </c>
      <c r="D10" s="7">
        <v>5400</v>
      </c>
      <c r="G10" s="19" t="s">
        <v>127</v>
      </c>
    </row>
    <row r="11" spans="1:18" ht="15.75" x14ac:dyDescent="0.25">
      <c r="A11" s="7" t="s">
        <v>45</v>
      </c>
      <c r="B11" s="7">
        <v>8300</v>
      </c>
      <c r="C11" s="7">
        <v>3900</v>
      </c>
      <c r="D11" s="7">
        <v>5500</v>
      </c>
      <c r="G11" s="19" t="s">
        <v>128</v>
      </c>
    </row>
    <row r="12" spans="1:18" x14ac:dyDescent="0.25">
      <c r="A12" s="7" t="s">
        <v>46</v>
      </c>
      <c r="B12" s="7">
        <v>9000</v>
      </c>
      <c r="C12" s="7">
        <v>3000</v>
      </c>
      <c r="D12" s="7">
        <v>5700</v>
      </c>
    </row>
    <row r="13" spans="1:18" ht="15.75" x14ac:dyDescent="0.25">
      <c r="A13" s="7" t="s">
        <v>47</v>
      </c>
      <c r="B13" s="7">
        <v>9000</v>
      </c>
      <c r="C13" s="7">
        <v>3000</v>
      </c>
      <c r="D13" s="7">
        <v>5800</v>
      </c>
      <c r="G13" s="33" t="s">
        <v>129</v>
      </c>
    </row>
    <row r="14" spans="1:18" x14ac:dyDescent="0.25">
      <c r="A14" s="7" t="s">
        <v>32</v>
      </c>
      <c r="B14" s="7">
        <v>53600</v>
      </c>
      <c r="C14" s="7">
        <v>18100</v>
      </c>
      <c r="D14" s="7">
        <v>35500</v>
      </c>
    </row>
    <row r="15" spans="1:18" ht="15.75" x14ac:dyDescent="0.25">
      <c r="A15" s="7" t="s">
        <v>44</v>
      </c>
      <c r="B15" s="7">
        <v>15000</v>
      </c>
      <c r="C15" s="7">
        <v>4100</v>
      </c>
      <c r="D15" s="7">
        <v>8900</v>
      </c>
      <c r="G15" s="34" t="s">
        <v>133</v>
      </c>
    </row>
    <row r="16" spans="1:18" ht="15.75" x14ac:dyDescent="0.25">
      <c r="A16" s="7" t="s">
        <v>45</v>
      </c>
      <c r="B16" s="7">
        <v>13300</v>
      </c>
      <c r="C16" s="7">
        <v>4900</v>
      </c>
      <c r="D16" s="7">
        <v>8900</v>
      </c>
      <c r="G16" s="19" t="s">
        <v>130</v>
      </c>
    </row>
    <row r="17" spans="1:18" ht="15.75" x14ac:dyDescent="0.25">
      <c r="A17" s="7" t="s">
        <v>46</v>
      </c>
      <c r="B17" s="7">
        <v>12600</v>
      </c>
      <c r="C17" s="7">
        <v>4100</v>
      </c>
      <c r="D17" s="7">
        <v>8900</v>
      </c>
      <c r="G17" s="19" t="s">
        <v>131</v>
      </c>
    </row>
    <row r="18" spans="1:18" ht="15.75" x14ac:dyDescent="0.25">
      <c r="A18" s="7" t="s">
        <v>47</v>
      </c>
      <c r="B18" s="7">
        <v>12700</v>
      </c>
      <c r="C18" s="7">
        <v>5000</v>
      </c>
      <c r="D18" s="7">
        <v>8800</v>
      </c>
      <c r="G18" s="19" t="s">
        <v>132</v>
      </c>
      <c r="P18" s="28"/>
      <c r="Q18" s="28"/>
      <c r="R18" s="28"/>
    </row>
    <row r="19" spans="1:18" ht="15.75" x14ac:dyDescent="0.25">
      <c r="A19" s="7" t="s">
        <v>32</v>
      </c>
      <c r="B19" s="7">
        <v>53500</v>
      </c>
      <c r="C19" s="7">
        <v>40000</v>
      </c>
      <c r="D19" s="7">
        <v>13500</v>
      </c>
      <c r="P19" s="28"/>
      <c r="Q19" s="28"/>
      <c r="R19" s="28"/>
    </row>
    <row r="20" spans="1:18" x14ac:dyDescent="0.25">
      <c r="A20" s="7" t="s">
        <v>44</v>
      </c>
      <c r="B20" s="7">
        <v>26500</v>
      </c>
      <c r="C20" s="7">
        <v>20000</v>
      </c>
      <c r="D20" s="7">
        <v>7500</v>
      </c>
    </row>
    <row r="21" spans="1:18" ht="15.75" x14ac:dyDescent="0.25">
      <c r="A21" s="7" t="s">
        <v>45</v>
      </c>
      <c r="B21" s="7">
        <v>27000</v>
      </c>
      <c r="C21" s="7">
        <v>20000</v>
      </c>
      <c r="D21" s="7">
        <v>6000</v>
      </c>
      <c r="G21" s="33" t="s">
        <v>146</v>
      </c>
    </row>
    <row r="22" spans="1:18" x14ac:dyDescent="0.25">
      <c r="A22" s="7" t="s">
        <v>33</v>
      </c>
      <c r="B22" s="7">
        <v>21200</v>
      </c>
      <c r="C22" s="7">
        <v>11400</v>
      </c>
      <c r="D22" s="7">
        <v>9800</v>
      </c>
      <c r="G22" s="27"/>
    </row>
    <row r="23" spans="1:18" ht="15.75" x14ac:dyDescent="0.25">
      <c r="A23" s="7" t="s">
        <v>44</v>
      </c>
      <c r="B23" s="7">
        <v>21200</v>
      </c>
      <c r="C23" s="7">
        <v>11400</v>
      </c>
      <c r="D23" s="7">
        <v>9800</v>
      </c>
      <c r="G23" s="19" t="s">
        <v>134</v>
      </c>
    </row>
    <row r="24" spans="1:18" ht="15.75" x14ac:dyDescent="0.25">
      <c r="A24" s="7" t="s">
        <v>33</v>
      </c>
      <c r="B24" s="7">
        <v>22300</v>
      </c>
      <c r="C24" s="7">
        <v>10600</v>
      </c>
      <c r="D24" s="7">
        <v>11700</v>
      </c>
      <c r="G24" s="19" t="s">
        <v>135</v>
      </c>
    </row>
    <row r="25" spans="1:18" ht="15.75" x14ac:dyDescent="0.25">
      <c r="A25" s="7" t="s">
        <v>45</v>
      </c>
      <c r="B25" s="7">
        <v>22300</v>
      </c>
      <c r="C25" s="7">
        <v>10600</v>
      </c>
      <c r="D25" s="7">
        <v>11700</v>
      </c>
      <c r="G25" s="19" t="s">
        <v>136</v>
      </c>
    </row>
    <row r="26" spans="1:18" x14ac:dyDescent="0.25">
      <c r="A26" s="7" t="s">
        <v>33</v>
      </c>
      <c r="B26" s="7">
        <v>17500</v>
      </c>
      <c r="C26" s="7">
        <v>7300</v>
      </c>
      <c r="D26" s="7">
        <v>10200</v>
      </c>
    </row>
    <row r="27" spans="1:18" x14ac:dyDescent="0.25">
      <c r="A27" s="7" t="s">
        <v>46</v>
      </c>
      <c r="B27" s="7">
        <v>17500</v>
      </c>
      <c r="C27" s="7">
        <v>7300</v>
      </c>
      <c r="D27" s="7">
        <v>10200</v>
      </c>
    </row>
    <row r="28" spans="1:18" x14ac:dyDescent="0.25">
      <c r="A28" s="7" t="s">
        <v>34</v>
      </c>
      <c r="B28" s="7">
        <v>9600</v>
      </c>
      <c r="C28" s="7">
        <v>3600</v>
      </c>
      <c r="D28" s="7">
        <v>6000</v>
      </c>
    </row>
    <row r="29" spans="1:18" x14ac:dyDescent="0.25">
      <c r="A29" s="7" t="s">
        <v>47</v>
      </c>
      <c r="B29" s="7">
        <v>9600</v>
      </c>
      <c r="C29" s="7">
        <v>3600</v>
      </c>
      <c r="D29" s="7">
        <v>6000</v>
      </c>
    </row>
    <row r="30" spans="1:18" x14ac:dyDescent="0.25">
      <c r="A30" s="7" t="s">
        <v>34</v>
      </c>
      <c r="B30" s="7">
        <v>41400</v>
      </c>
      <c r="C30" s="7">
        <v>13600</v>
      </c>
      <c r="D30" s="7">
        <v>27800</v>
      </c>
    </row>
    <row r="31" spans="1:18" x14ac:dyDescent="0.25">
      <c r="A31" s="7" t="s">
        <v>34</v>
      </c>
      <c r="B31" s="7">
        <v>47100</v>
      </c>
      <c r="C31" s="7">
        <v>19500</v>
      </c>
      <c r="D31" s="7">
        <v>27600</v>
      </c>
    </row>
    <row r="32" spans="1:18" x14ac:dyDescent="0.25">
      <c r="A32" s="8" t="s">
        <v>35</v>
      </c>
      <c r="B32" s="7">
        <v>169800</v>
      </c>
      <c r="C32" s="7">
        <v>71300</v>
      </c>
      <c r="D32" s="7">
        <v>98500</v>
      </c>
    </row>
    <row r="33" spans="1:4" x14ac:dyDescent="0.25">
      <c r="A33" s="7" t="s">
        <v>48</v>
      </c>
      <c r="B33" s="7">
        <v>80800</v>
      </c>
      <c r="C33" s="7">
        <v>40000</v>
      </c>
      <c r="D33" s="7">
        <v>50000</v>
      </c>
    </row>
    <row r="34" spans="1:4" x14ac:dyDescent="0.25">
      <c r="A34" s="7" t="s">
        <v>49</v>
      </c>
      <c r="B34" s="7">
        <v>89000</v>
      </c>
      <c r="C34" s="7">
        <v>31300</v>
      </c>
      <c r="D34" s="7">
        <v>48500</v>
      </c>
    </row>
    <row r="35" spans="1:4" x14ac:dyDescent="0.25">
      <c r="A35" s="7" t="s">
        <v>36</v>
      </c>
      <c r="B35" s="7">
        <v>23800</v>
      </c>
      <c r="C35" s="7">
        <v>15700</v>
      </c>
      <c r="D35" s="7">
        <v>8100</v>
      </c>
    </row>
    <row r="36" spans="1:4" x14ac:dyDescent="0.25">
      <c r="A36" s="7" t="s">
        <v>48</v>
      </c>
      <c r="B36" s="7">
        <v>10800</v>
      </c>
      <c r="C36" s="7">
        <v>8000</v>
      </c>
      <c r="D36" s="7">
        <v>4000</v>
      </c>
    </row>
    <row r="37" spans="1:4" x14ac:dyDescent="0.25">
      <c r="A37" s="7" t="s">
        <v>49</v>
      </c>
      <c r="B37" s="7">
        <v>13000</v>
      </c>
      <c r="C37" s="7">
        <v>7700</v>
      </c>
      <c r="D37" s="7">
        <v>4100</v>
      </c>
    </row>
    <row r="38" spans="1:4" x14ac:dyDescent="0.25">
      <c r="A38" s="7" t="s">
        <v>37</v>
      </c>
      <c r="B38" s="7">
        <v>40800</v>
      </c>
      <c r="C38" s="7">
        <v>19400</v>
      </c>
      <c r="D38" s="7">
        <v>21400</v>
      </c>
    </row>
    <row r="39" spans="1:4" x14ac:dyDescent="0.25">
      <c r="A39" s="7" t="s">
        <v>48</v>
      </c>
      <c r="B39" s="13">
        <v>20800</v>
      </c>
      <c r="C39" s="13">
        <v>10000</v>
      </c>
      <c r="D39" s="13">
        <v>11400</v>
      </c>
    </row>
    <row r="40" spans="1:4" x14ac:dyDescent="0.25">
      <c r="A40" s="7" t="s">
        <v>49</v>
      </c>
      <c r="B40" s="7">
        <v>20000</v>
      </c>
      <c r="C40" s="7">
        <v>9400</v>
      </c>
      <c r="D40" s="7">
        <v>10000</v>
      </c>
    </row>
    <row r="41" spans="1:4" x14ac:dyDescent="0.25">
      <c r="A41" s="7" t="s">
        <v>37</v>
      </c>
      <c r="B41" s="7">
        <v>32900</v>
      </c>
      <c r="C41" s="7">
        <v>11800</v>
      </c>
      <c r="D41" s="7">
        <v>21100</v>
      </c>
    </row>
    <row r="42" spans="1:4" x14ac:dyDescent="0.25">
      <c r="A42" s="7" t="s">
        <v>48</v>
      </c>
      <c r="B42" s="7">
        <v>32900</v>
      </c>
      <c r="C42" s="7">
        <v>11800</v>
      </c>
      <c r="D42" s="7">
        <v>21100</v>
      </c>
    </row>
    <row r="43" spans="1:4" x14ac:dyDescent="0.25">
      <c r="A43" s="7" t="s">
        <v>38</v>
      </c>
      <c r="B43" s="7">
        <v>21700</v>
      </c>
      <c r="C43" s="7">
        <v>13300</v>
      </c>
      <c r="D43" s="7">
        <v>8400</v>
      </c>
    </row>
    <row r="44" spans="1:4" x14ac:dyDescent="0.25">
      <c r="A44" s="7" t="s">
        <v>49</v>
      </c>
      <c r="B44" s="7">
        <v>21700</v>
      </c>
      <c r="C44" s="7">
        <v>13300</v>
      </c>
      <c r="D44" s="7">
        <v>8400</v>
      </c>
    </row>
    <row r="45" spans="1:4" x14ac:dyDescent="0.25">
      <c r="A45" s="7" t="s">
        <v>38</v>
      </c>
      <c r="B45" s="7">
        <v>50600</v>
      </c>
      <c r="C45" s="7">
        <v>11100</v>
      </c>
      <c r="D45" s="7">
        <v>39500</v>
      </c>
    </row>
    <row r="46" spans="1:4" x14ac:dyDescent="0.25">
      <c r="A46" s="7" t="s">
        <v>48</v>
      </c>
      <c r="B46" s="7">
        <v>50600</v>
      </c>
      <c r="C46" s="7">
        <v>11100</v>
      </c>
      <c r="D46" s="7">
        <v>39500</v>
      </c>
    </row>
    <row r="47" spans="1:4" x14ac:dyDescent="0.25">
      <c r="A47" s="9" t="s">
        <v>39</v>
      </c>
      <c r="B47" s="7">
        <v>128700</v>
      </c>
      <c r="C47" s="7">
        <v>41700</v>
      </c>
      <c r="D47" s="7">
        <v>87000</v>
      </c>
    </row>
    <row r="48" spans="1:4" x14ac:dyDescent="0.25">
      <c r="A48" s="8" t="s">
        <v>40</v>
      </c>
      <c r="B48" s="7">
        <v>128700</v>
      </c>
      <c r="C48" s="7">
        <v>41700</v>
      </c>
      <c r="D48" s="7">
        <v>87000</v>
      </c>
    </row>
    <row r="49" spans="1:4" x14ac:dyDescent="0.25">
      <c r="A49" s="7" t="s">
        <v>33</v>
      </c>
      <c r="B49" s="7">
        <v>20600</v>
      </c>
      <c r="C49" s="7">
        <v>8800</v>
      </c>
      <c r="D49" s="7">
        <v>11800</v>
      </c>
    </row>
    <row r="50" spans="1:4" x14ac:dyDescent="0.25">
      <c r="A50" s="7" t="s">
        <v>44</v>
      </c>
      <c r="B50" s="7">
        <v>20600</v>
      </c>
      <c r="C50" s="7">
        <v>8800</v>
      </c>
      <c r="D50" s="7">
        <v>11800</v>
      </c>
    </row>
    <row r="51" spans="1:4" x14ac:dyDescent="0.25">
      <c r="A51" s="7" t="s">
        <v>34</v>
      </c>
      <c r="B51" s="7">
        <v>9300</v>
      </c>
      <c r="C51" s="7">
        <v>3600</v>
      </c>
      <c r="D51" s="7">
        <v>5700</v>
      </c>
    </row>
    <row r="52" spans="1:4" x14ac:dyDescent="0.25">
      <c r="A52" s="7" t="s">
        <v>45</v>
      </c>
      <c r="B52" s="7">
        <v>9300</v>
      </c>
      <c r="C52" s="7">
        <v>3600</v>
      </c>
      <c r="D52" s="7">
        <v>5700</v>
      </c>
    </row>
    <row r="53" spans="1:4" x14ac:dyDescent="0.25">
      <c r="A53" s="7" t="s">
        <v>34</v>
      </c>
      <c r="B53" s="7">
        <v>50800</v>
      </c>
      <c r="C53" s="7">
        <v>12300</v>
      </c>
      <c r="D53" s="7">
        <v>38500</v>
      </c>
    </row>
    <row r="54" spans="1:4" x14ac:dyDescent="0.25">
      <c r="A54" s="7" t="s">
        <v>46</v>
      </c>
      <c r="B54" s="7">
        <v>50800</v>
      </c>
      <c r="C54" s="7">
        <v>12300</v>
      </c>
      <c r="D54" s="7">
        <v>38500</v>
      </c>
    </row>
    <row r="55" spans="1:4" x14ac:dyDescent="0.25">
      <c r="A55" s="7" t="s">
        <v>34</v>
      </c>
      <c r="B55" s="7">
        <v>48000</v>
      </c>
      <c r="C55" s="7">
        <v>17000</v>
      </c>
      <c r="D55" s="7">
        <v>31000</v>
      </c>
    </row>
    <row r="56" spans="1:4" x14ac:dyDescent="0.25">
      <c r="A56" s="7" t="s">
        <v>47</v>
      </c>
      <c r="B56" s="7">
        <v>48000</v>
      </c>
      <c r="C56" s="7">
        <v>17000</v>
      </c>
      <c r="D56" s="7">
        <v>31000</v>
      </c>
    </row>
    <row r="57" spans="1:4" x14ac:dyDescent="0.25">
      <c r="A57" s="36" t="s">
        <v>41</v>
      </c>
      <c r="B57" s="36">
        <v>600000</v>
      </c>
      <c r="C57" s="36">
        <v>250000</v>
      </c>
      <c r="D57" s="36">
        <v>350000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5161-50AA-4B4D-9CA5-260B6675507A}">
  <dimension ref="A1:T58"/>
  <sheetViews>
    <sheetView zoomScale="70" zoomScaleNormal="70" workbookViewId="0">
      <selection activeCell="U16" sqref="U16"/>
    </sheetView>
  </sheetViews>
  <sheetFormatPr defaultRowHeight="15" x14ac:dyDescent="0.25"/>
  <cols>
    <col min="1" max="1" width="35.140625" customWidth="1"/>
    <col min="2" max="5" width="14.7109375" customWidth="1"/>
    <col min="6" max="12" width="13.5703125" customWidth="1"/>
    <col min="13" max="13" width="9.140625" customWidth="1"/>
    <col min="14" max="14" width="13.28515625" customWidth="1"/>
  </cols>
  <sheetData>
    <row r="1" spans="1:20" ht="22.5" x14ac:dyDescent="0.45">
      <c r="A1" t="s">
        <v>42</v>
      </c>
      <c r="O1" s="18" t="s">
        <v>120</v>
      </c>
    </row>
    <row r="2" spans="1:20" x14ac:dyDescent="0.25">
      <c r="A2" t="s">
        <v>139</v>
      </c>
      <c r="O2" s="29"/>
    </row>
    <row r="3" spans="1:20" ht="15.75" x14ac:dyDescent="0.25">
      <c r="A3" s="7" t="s">
        <v>25</v>
      </c>
      <c r="L3" s="28"/>
      <c r="N3" s="28"/>
      <c r="O3">
        <v>1</v>
      </c>
      <c r="P3" s="35" t="s">
        <v>144</v>
      </c>
      <c r="Q3" s="28"/>
      <c r="R3" s="28"/>
      <c r="S3" s="28"/>
      <c r="T3" s="28"/>
    </row>
    <row r="4" spans="1:20" ht="15.75" x14ac:dyDescent="0.25">
      <c r="A4" s="7" t="s">
        <v>26</v>
      </c>
      <c r="L4" s="28"/>
      <c r="N4" s="28"/>
      <c r="O4">
        <v>2</v>
      </c>
      <c r="P4" s="35" t="s">
        <v>122</v>
      </c>
      <c r="Q4" s="28"/>
      <c r="R4" s="28"/>
      <c r="S4" s="28"/>
      <c r="T4" s="28"/>
    </row>
    <row r="5" spans="1:20" ht="15.75" x14ac:dyDescent="0.25">
      <c r="A5" s="7" t="s">
        <v>27</v>
      </c>
      <c r="L5" s="28"/>
      <c r="N5" s="28"/>
      <c r="O5">
        <v>3</v>
      </c>
      <c r="P5" s="35" t="s">
        <v>145</v>
      </c>
      <c r="Q5" s="28"/>
      <c r="R5" s="28"/>
      <c r="S5" s="28"/>
      <c r="T5" s="28"/>
    </row>
    <row r="6" spans="1:20" ht="15.75" x14ac:dyDescent="0.25">
      <c r="L6" s="28"/>
      <c r="N6" s="28"/>
      <c r="Q6" s="28"/>
      <c r="R6" s="28"/>
      <c r="S6" s="28"/>
      <c r="T6" s="28"/>
    </row>
    <row r="7" spans="1:20" ht="15.75" x14ac:dyDescent="0.25">
      <c r="A7" s="7" t="s">
        <v>24</v>
      </c>
      <c r="B7" s="11">
        <v>45658</v>
      </c>
      <c r="C7" s="11">
        <v>45689</v>
      </c>
      <c r="D7" s="11">
        <v>45717</v>
      </c>
      <c r="E7" s="41" t="s">
        <v>141</v>
      </c>
      <c r="F7" s="11">
        <v>45748</v>
      </c>
      <c r="G7" s="11">
        <v>45778</v>
      </c>
      <c r="H7" s="11">
        <v>45809</v>
      </c>
      <c r="I7" s="41" t="s">
        <v>142</v>
      </c>
      <c r="J7" s="11">
        <v>45839</v>
      </c>
      <c r="K7" s="11">
        <v>45870</v>
      </c>
      <c r="L7" s="11">
        <v>45901</v>
      </c>
      <c r="M7" s="41" t="s">
        <v>143</v>
      </c>
      <c r="N7" s="39" t="s">
        <v>140</v>
      </c>
      <c r="P7" s="35"/>
      <c r="Q7" s="28"/>
      <c r="R7" s="28"/>
      <c r="S7" s="28"/>
      <c r="T7" s="28"/>
    </row>
    <row r="8" spans="1:20" x14ac:dyDescent="0.25">
      <c r="A8" s="9" t="s">
        <v>29</v>
      </c>
      <c r="B8" s="7">
        <v>471300</v>
      </c>
      <c r="C8" s="7">
        <v>208300</v>
      </c>
      <c r="D8" s="7">
        <v>263000</v>
      </c>
      <c r="E8" s="42">
        <f>SUM(B8:D8)</f>
        <v>942600</v>
      </c>
      <c r="F8" s="7">
        <v>471300</v>
      </c>
      <c r="G8" s="7">
        <v>208300</v>
      </c>
      <c r="H8" s="7">
        <v>263000</v>
      </c>
      <c r="I8" s="42">
        <f>SUM(F8:H8)</f>
        <v>942600</v>
      </c>
      <c r="J8" s="7">
        <v>471300</v>
      </c>
      <c r="K8" s="7">
        <v>208300</v>
      </c>
      <c r="L8" s="7">
        <v>263000</v>
      </c>
      <c r="M8" s="43">
        <f>SUM(J8:L8)</f>
        <v>942600</v>
      </c>
      <c r="N8" s="40">
        <f>SUM(E8+I8+M8)</f>
        <v>2827800</v>
      </c>
    </row>
    <row r="9" spans="1:20" x14ac:dyDescent="0.25">
      <c r="A9" s="8" t="s">
        <v>30</v>
      </c>
      <c r="B9" s="7">
        <v>301500</v>
      </c>
      <c r="C9" s="7">
        <v>137000</v>
      </c>
      <c r="D9" s="7">
        <v>164500</v>
      </c>
      <c r="E9" s="42">
        <f t="shared" ref="E9:E57" si="0">SUM(B9:D9)</f>
        <v>603000</v>
      </c>
      <c r="F9" s="7">
        <v>301500</v>
      </c>
      <c r="G9" s="7">
        <v>137000</v>
      </c>
      <c r="H9" s="7">
        <v>164500</v>
      </c>
      <c r="I9" s="42">
        <f t="shared" ref="I9:I57" si="1">SUM(F9:H9)</f>
        <v>603000</v>
      </c>
      <c r="J9" s="7">
        <v>301500</v>
      </c>
      <c r="K9" s="7">
        <v>137000</v>
      </c>
      <c r="L9" s="7">
        <v>164500</v>
      </c>
      <c r="M9" s="43">
        <f t="shared" ref="M9:M57" si="2">SUM(J9:L9)</f>
        <v>603000</v>
      </c>
      <c r="N9" s="40">
        <f t="shared" ref="N9:N57" si="3">SUM(E9+I9+M9)</f>
        <v>1809000</v>
      </c>
    </row>
    <row r="10" spans="1:20" x14ac:dyDescent="0.25">
      <c r="A10" s="7" t="s">
        <v>31</v>
      </c>
      <c r="B10" s="7">
        <v>35300</v>
      </c>
      <c r="C10" s="7">
        <v>12900</v>
      </c>
      <c r="D10" s="7">
        <v>22400</v>
      </c>
      <c r="E10" s="42">
        <f t="shared" si="0"/>
        <v>70600</v>
      </c>
      <c r="F10" s="7">
        <v>35300</v>
      </c>
      <c r="G10" s="7">
        <v>12900</v>
      </c>
      <c r="H10" s="7">
        <v>22400</v>
      </c>
      <c r="I10" s="42">
        <f t="shared" si="1"/>
        <v>70600</v>
      </c>
      <c r="J10" s="7">
        <v>35300</v>
      </c>
      <c r="K10" s="7">
        <v>12900</v>
      </c>
      <c r="L10" s="7">
        <v>22400</v>
      </c>
      <c r="M10" s="43">
        <f t="shared" si="2"/>
        <v>70600</v>
      </c>
      <c r="N10" s="40">
        <f t="shared" si="3"/>
        <v>211800</v>
      </c>
    </row>
    <row r="11" spans="1:20" x14ac:dyDescent="0.25">
      <c r="A11" s="7" t="s">
        <v>44</v>
      </c>
      <c r="B11" s="7">
        <v>9000</v>
      </c>
      <c r="C11" s="7">
        <v>3000</v>
      </c>
      <c r="D11" s="7">
        <v>5400</v>
      </c>
      <c r="E11" s="42">
        <f t="shared" si="0"/>
        <v>17400</v>
      </c>
      <c r="F11" s="7">
        <v>9000</v>
      </c>
      <c r="G11" s="7">
        <v>3000</v>
      </c>
      <c r="H11" s="7">
        <v>5400</v>
      </c>
      <c r="I11" s="42">
        <f t="shared" si="1"/>
        <v>17400</v>
      </c>
      <c r="J11" s="7">
        <v>9000</v>
      </c>
      <c r="K11" s="7">
        <v>3000</v>
      </c>
      <c r="L11" s="7">
        <v>5400</v>
      </c>
      <c r="M11" s="43">
        <f t="shared" si="2"/>
        <v>17400</v>
      </c>
      <c r="N11" s="40">
        <f t="shared" si="3"/>
        <v>52200</v>
      </c>
    </row>
    <row r="12" spans="1:20" x14ac:dyDescent="0.25">
      <c r="A12" s="7" t="s">
        <v>45</v>
      </c>
      <c r="B12" s="7">
        <v>8300</v>
      </c>
      <c r="C12" s="7">
        <v>3900</v>
      </c>
      <c r="D12" s="7">
        <v>5500</v>
      </c>
      <c r="E12" s="42">
        <f t="shared" si="0"/>
        <v>17700</v>
      </c>
      <c r="F12" s="7">
        <v>8300</v>
      </c>
      <c r="G12" s="7">
        <v>3900</v>
      </c>
      <c r="H12" s="7">
        <v>5500</v>
      </c>
      <c r="I12" s="42">
        <f t="shared" si="1"/>
        <v>17700</v>
      </c>
      <c r="J12" s="7">
        <v>8300</v>
      </c>
      <c r="K12" s="7">
        <v>3900</v>
      </c>
      <c r="L12" s="7">
        <v>5500</v>
      </c>
      <c r="M12" s="43">
        <f t="shared" si="2"/>
        <v>17700</v>
      </c>
      <c r="N12" s="40">
        <f t="shared" si="3"/>
        <v>53100</v>
      </c>
    </row>
    <row r="13" spans="1:20" x14ac:dyDescent="0.25">
      <c r="A13" s="7" t="s">
        <v>46</v>
      </c>
      <c r="B13" s="7">
        <v>9000</v>
      </c>
      <c r="C13" s="7">
        <v>3000</v>
      </c>
      <c r="D13" s="7">
        <v>5700</v>
      </c>
      <c r="E13" s="42">
        <f t="shared" si="0"/>
        <v>17700</v>
      </c>
      <c r="F13" s="7">
        <v>9000</v>
      </c>
      <c r="G13" s="7">
        <v>3000</v>
      </c>
      <c r="H13" s="7">
        <v>5700</v>
      </c>
      <c r="I13" s="42">
        <f t="shared" si="1"/>
        <v>17700</v>
      </c>
      <c r="J13" s="7">
        <v>9000</v>
      </c>
      <c r="K13" s="7">
        <v>3000</v>
      </c>
      <c r="L13" s="7">
        <v>5700</v>
      </c>
      <c r="M13" s="43">
        <f t="shared" si="2"/>
        <v>17700</v>
      </c>
      <c r="N13" s="40">
        <f t="shared" si="3"/>
        <v>53100</v>
      </c>
    </row>
    <row r="14" spans="1:20" x14ac:dyDescent="0.25">
      <c r="A14" s="7" t="s">
        <v>47</v>
      </c>
      <c r="B14" s="7">
        <v>9000</v>
      </c>
      <c r="C14" s="7">
        <v>3000</v>
      </c>
      <c r="D14" s="7">
        <v>5800</v>
      </c>
      <c r="E14" s="42">
        <f t="shared" si="0"/>
        <v>17800</v>
      </c>
      <c r="F14" s="7">
        <v>9000</v>
      </c>
      <c r="G14" s="7">
        <v>3000</v>
      </c>
      <c r="H14" s="7">
        <v>5800</v>
      </c>
      <c r="I14" s="42">
        <f t="shared" si="1"/>
        <v>17800</v>
      </c>
      <c r="J14" s="7">
        <v>9000</v>
      </c>
      <c r="K14" s="7">
        <v>3000</v>
      </c>
      <c r="L14" s="7">
        <v>5800</v>
      </c>
      <c r="M14" s="43">
        <f t="shared" si="2"/>
        <v>17800</v>
      </c>
      <c r="N14" s="40">
        <f t="shared" si="3"/>
        <v>53400</v>
      </c>
    </row>
    <row r="15" spans="1:20" x14ac:dyDescent="0.25">
      <c r="A15" s="7" t="s">
        <v>32</v>
      </c>
      <c r="B15" s="7">
        <v>53600</v>
      </c>
      <c r="C15" s="7">
        <v>18100</v>
      </c>
      <c r="D15" s="7">
        <v>35500</v>
      </c>
      <c r="E15" s="42">
        <f t="shared" si="0"/>
        <v>107200</v>
      </c>
      <c r="F15" s="7">
        <v>53600</v>
      </c>
      <c r="G15" s="7">
        <v>18100</v>
      </c>
      <c r="H15" s="7">
        <v>35500</v>
      </c>
      <c r="I15" s="42">
        <f t="shared" si="1"/>
        <v>107200</v>
      </c>
      <c r="J15" s="7">
        <v>53600</v>
      </c>
      <c r="K15" s="7">
        <v>18100</v>
      </c>
      <c r="L15" s="7">
        <v>35500</v>
      </c>
      <c r="M15" s="43">
        <f t="shared" si="2"/>
        <v>107200</v>
      </c>
      <c r="N15" s="40">
        <f t="shared" si="3"/>
        <v>321600</v>
      </c>
    </row>
    <row r="16" spans="1:20" x14ac:dyDescent="0.25">
      <c r="A16" s="7" t="s">
        <v>44</v>
      </c>
      <c r="B16" s="7">
        <v>15000</v>
      </c>
      <c r="C16" s="7">
        <v>4100</v>
      </c>
      <c r="D16" s="7">
        <v>8900</v>
      </c>
      <c r="E16" s="42">
        <f t="shared" si="0"/>
        <v>28000</v>
      </c>
      <c r="F16" s="7">
        <v>15000</v>
      </c>
      <c r="G16" s="7">
        <v>4100</v>
      </c>
      <c r="H16" s="7">
        <v>8900</v>
      </c>
      <c r="I16" s="42">
        <f t="shared" si="1"/>
        <v>28000</v>
      </c>
      <c r="J16" s="7">
        <v>15000</v>
      </c>
      <c r="K16" s="7">
        <v>4100</v>
      </c>
      <c r="L16" s="7">
        <v>8900</v>
      </c>
      <c r="M16" s="43">
        <f t="shared" si="2"/>
        <v>28000</v>
      </c>
      <c r="N16" s="40">
        <f t="shared" si="3"/>
        <v>84000</v>
      </c>
    </row>
    <row r="17" spans="1:14" x14ac:dyDescent="0.25">
      <c r="A17" s="7" t="s">
        <v>45</v>
      </c>
      <c r="B17" s="7">
        <v>13300</v>
      </c>
      <c r="C17" s="7">
        <v>4900</v>
      </c>
      <c r="D17" s="7">
        <v>8900</v>
      </c>
      <c r="E17" s="42">
        <f t="shared" si="0"/>
        <v>27100</v>
      </c>
      <c r="F17" s="7">
        <v>13300</v>
      </c>
      <c r="G17" s="7">
        <v>4900</v>
      </c>
      <c r="H17" s="7">
        <v>8900</v>
      </c>
      <c r="I17" s="42">
        <f t="shared" si="1"/>
        <v>27100</v>
      </c>
      <c r="J17" s="7">
        <v>13300</v>
      </c>
      <c r="K17" s="7">
        <v>4900</v>
      </c>
      <c r="L17" s="7">
        <v>8900</v>
      </c>
      <c r="M17" s="43">
        <f t="shared" si="2"/>
        <v>27100</v>
      </c>
      <c r="N17" s="40">
        <f t="shared" si="3"/>
        <v>81300</v>
      </c>
    </row>
    <row r="18" spans="1:14" x14ac:dyDescent="0.25">
      <c r="A18" s="7" t="s">
        <v>46</v>
      </c>
      <c r="B18" s="7">
        <v>12600</v>
      </c>
      <c r="C18" s="7">
        <v>4100</v>
      </c>
      <c r="D18" s="7">
        <v>8900</v>
      </c>
      <c r="E18" s="42">
        <f t="shared" si="0"/>
        <v>25600</v>
      </c>
      <c r="F18" s="7">
        <v>12600</v>
      </c>
      <c r="G18" s="7">
        <v>4100</v>
      </c>
      <c r="H18" s="7">
        <v>8900</v>
      </c>
      <c r="I18" s="42">
        <f t="shared" si="1"/>
        <v>25600</v>
      </c>
      <c r="J18" s="7">
        <v>12600</v>
      </c>
      <c r="K18" s="7">
        <v>4100</v>
      </c>
      <c r="L18" s="7">
        <v>8900</v>
      </c>
      <c r="M18" s="43">
        <f t="shared" si="2"/>
        <v>25600</v>
      </c>
      <c r="N18" s="40">
        <f t="shared" si="3"/>
        <v>76800</v>
      </c>
    </row>
    <row r="19" spans="1:14" x14ac:dyDescent="0.25">
      <c r="A19" s="7" t="s">
        <v>47</v>
      </c>
      <c r="B19" s="7">
        <v>12700</v>
      </c>
      <c r="C19" s="7">
        <v>5000</v>
      </c>
      <c r="D19" s="7">
        <v>8800</v>
      </c>
      <c r="E19" s="42">
        <f t="shared" si="0"/>
        <v>26500</v>
      </c>
      <c r="F19" s="7">
        <v>12700</v>
      </c>
      <c r="G19" s="7">
        <v>5000</v>
      </c>
      <c r="H19" s="7">
        <v>8800</v>
      </c>
      <c r="I19" s="42">
        <f t="shared" si="1"/>
        <v>26500</v>
      </c>
      <c r="J19" s="7">
        <v>12700</v>
      </c>
      <c r="K19" s="7">
        <v>5000</v>
      </c>
      <c r="L19" s="7">
        <v>8800</v>
      </c>
      <c r="M19" s="43">
        <f t="shared" si="2"/>
        <v>26500</v>
      </c>
      <c r="N19" s="40">
        <f t="shared" si="3"/>
        <v>79500</v>
      </c>
    </row>
    <row r="20" spans="1:14" x14ac:dyDescent="0.25">
      <c r="A20" s="7" t="s">
        <v>32</v>
      </c>
      <c r="B20" s="7">
        <v>53500</v>
      </c>
      <c r="C20" s="7">
        <v>40000</v>
      </c>
      <c r="D20" s="7">
        <v>13500</v>
      </c>
      <c r="E20" s="42">
        <f t="shared" si="0"/>
        <v>107000</v>
      </c>
      <c r="F20" s="7">
        <v>53500</v>
      </c>
      <c r="G20" s="7">
        <v>40000</v>
      </c>
      <c r="H20" s="7">
        <v>13500</v>
      </c>
      <c r="I20" s="42">
        <f t="shared" si="1"/>
        <v>107000</v>
      </c>
      <c r="J20" s="7">
        <v>53500</v>
      </c>
      <c r="K20" s="7">
        <v>40000</v>
      </c>
      <c r="L20" s="7">
        <v>13500</v>
      </c>
      <c r="M20" s="43">
        <f t="shared" si="2"/>
        <v>107000</v>
      </c>
      <c r="N20" s="40">
        <f t="shared" si="3"/>
        <v>321000</v>
      </c>
    </row>
    <row r="21" spans="1:14" x14ac:dyDescent="0.25">
      <c r="A21" s="7" t="s">
        <v>44</v>
      </c>
      <c r="B21" s="7">
        <v>26500</v>
      </c>
      <c r="C21" s="7">
        <v>20000</v>
      </c>
      <c r="D21" s="7">
        <v>7500</v>
      </c>
      <c r="E21" s="42">
        <f t="shared" si="0"/>
        <v>54000</v>
      </c>
      <c r="F21" s="7">
        <v>26500</v>
      </c>
      <c r="G21" s="7">
        <v>20000</v>
      </c>
      <c r="H21" s="7">
        <v>7500</v>
      </c>
      <c r="I21" s="42">
        <f t="shared" si="1"/>
        <v>54000</v>
      </c>
      <c r="J21" s="7">
        <v>26500</v>
      </c>
      <c r="K21" s="7">
        <v>20000</v>
      </c>
      <c r="L21" s="7">
        <v>7500</v>
      </c>
      <c r="M21" s="43">
        <f t="shared" si="2"/>
        <v>54000</v>
      </c>
      <c r="N21" s="40">
        <f t="shared" si="3"/>
        <v>162000</v>
      </c>
    </row>
    <row r="22" spans="1:14" x14ac:dyDescent="0.25">
      <c r="A22" s="7" t="s">
        <v>45</v>
      </c>
      <c r="B22" s="7">
        <v>27000</v>
      </c>
      <c r="C22" s="7">
        <v>20000</v>
      </c>
      <c r="D22" s="7">
        <v>6000</v>
      </c>
      <c r="E22" s="42">
        <f t="shared" si="0"/>
        <v>53000</v>
      </c>
      <c r="F22" s="7">
        <v>27000</v>
      </c>
      <c r="G22" s="7">
        <v>20000</v>
      </c>
      <c r="H22" s="7">
        <v>6000</v>
      </c>
      <c r="I22" s="42">
        <f t="shared" si="1"/>
        <v>53000</v>
      </c>
      <c r="J22" s="7">
        <v>27000</v>
      </c>
      <c r="K22" s="7">
        <v>20000</v>
      </c>
      <c r="L22" s="7">
        <v>6000</v>
      </c>
      <c r="M22" s="43">
        <f t="shared" si="2"/>
        <v>53000</v>
      </c>
      <c r="N22" s="40">
        <f t="shared" si="3"/>
        <v>159000</v>
      </c>
    </row>
    <row r="23" spans="1:14" x14ac:dyDescent="0.25">
      <c r="A23" s="7" t="s">
        <v>33</v>
      </c>
      <c r="B23" s="7">
        <v>21200</v>
      </c>
      <c r="C23" s="7">
        <v>11400</v>
      </c>
      <c r="D23" s="7">
        <v>9800</v>
      </c>
      <c r="E23" s="42">
        <f t="shared" si="0"/>
        <v>42400</v>
      </c>
      <c r="F23" s="7">
        <v>21200</v>
      </c>
      <c r="G23" s="7">
        <v>11400</v>
      </c>
      <c r="H23" s="7">
        <v>9800</v>
      </c>
      <c r="I23" s="42">
        <f t="shared" si="1"/>
        <v>42400</v>
      </c>
      <c r="J23" s="7">
        <v>21200</v>
      </c>
      <c r="K23" s="7">
        <v>11400</v>
      </c>
      <c r="L23" s="7">
        <v>9800</v>
      </c>
      <c r="M23" s="43">
        <f t="shared" si="2"/>
        <v>42400</v>
      </c>
      <c r="N23" s="40">
        <f t="shared" si="3"/>
        <v>127200</v>
      </c>
    </row>
    <row r="24" spans="1:14" x14ac:dyDescent="0.25">
      <c r="A24" s="7" t="s">
        <v>44</v>
      </c>
      <c r="B24" s="7">
        <v>21200</v>
      </c>
      <c r="C24" s="7">
        <v>11400</v>
      </c>
      <c r="D24" s="7">
        <v>9800</v>
      </c>
      <c r="E24" s="42">
        <f t="shared" si="0"/>
        <v>42400</v>
      </c>
      <c r="F24" s="7">
        <v>21200</v>
      </c>
      <c r="G24" s="7">
        <v>11400</v>
      </c>
      <c r="H24" s="7">
        <v>9800</v>
      </c>
      <c r="I24" s="42">
        <f t="shared" si="1"/>
        <v>42400</v>
      </c>
      <c r="J24" s="7">
        <v>21200</v>
      </c>
      <c r="K24" s="7">
        <v>11400</v>
      </c>
      <c r="L24" s="7">
        <v>9800</v>
      </c>
      <c r="M24" s="43">
        <f t="shared" si="2"/>
        <v>42400</v>
      </c>
      <c r="N24" s="40">
        <f t="shared" si="3"/>
        <v>127200</v>
      </c>
    </row>
    <row r="25" spans="1:14" x14ac:dyDescent="0.25">
      <c r="A25" s="7" t="s">
        <v>33</v>
      </c>
      <c r="B25" s="7">
        <v>22300</v>
      </c>
      <c r="C25" s="7">
        <v>10600</v>
      </c>
      <c r="D25" s="7">
        <v>11700</v>
      </c>
      <c r="E25" s="42">
        <f t="shared" si="0"/>
        <v>44600</v>
      </c>
      <c r="F25" s="7">
        <v>22300</v>
      </c>
      <c r="G25" s="7">
        <v>10600</v>
      </c>
      <c r="H25" s="7">
        <v>11700</v>
      </c>
      <c r="I25" s="42">
        <f t="shared" si="1"/>
        <v>44600</v>
      </c>
      <c r="J25" s="7">
        <v>22300</v>
      </c>
      <c r="K25" s="7">
        <v>10600</v>
      </c>
      <c r="L25" s="7">
        <v>11700</v>
      </c>
      <c r="M25" s="43">
        <f t="shared" si="2"/>
        <v>44600</v>
      </c>
      <c r="N25" s="40">
        <f t="shared" si="3"/>
        <v>133800</v>
      </c>
    </row>
    <row r="26" spans="1:14" x14ac:dyDescent="0.25">
      <c r="A26" s="7" t="s">
        <v>45</v>
      </c>
      <c r="B26" s="7">
        <v>22300</v>
      </c>
      <c r="C26" s="7">
        <v>10600</v>
      </c>
      <c r="D26" s="7">
        <v>11700</v>
      </c>
      <c r="E26" s="42">
        <f t="shared" si="0"/>
        <v>44600</v>
      </c>
      <c r="F26" s="7">
        <v>22300</v>
      </c>
      <c r="G26" s="7">
        <v>10600</v>
      </c>
      <c r="H26" s="7">
        <v>11700</v>
      </c>
      <c r="I26" s="42">
        <f t="shared" si="1"/>
        <v>44600</v>
      </c>
      <c r="J26" s="7">
        <v>22300</v>
      </c>
      <c r="K26" s="7">
        <v>10600</v>
      </c>
      <c r="L26" s="7">
        <v>11700</v>
      </c>
      <c r="M26" s="43">
        <f t="shared" si="2"/>
        <v>44600</v>
      </c>
      <c r="N26" s="40">
        <f t="shared" si="3"/>
        <v>133800</v>
      </c>
    </row>
    <row r="27" spans="1:14" x14ac:dyDescent="0.25">
      <c r="A27" s="7" t="s">
        <v>33</v>
      </c>
      <c r="B27" s="7">
        <v>17500</v>
      </c>
      <c r="C27" s="7">
        <v>7300</v>
      </c>
      <c r="D27" s="7">
        <v>10200</v>
      </c>
      <c r="E27" s="42">
        <f t="shared" si="0"/>
        <v>35000</v>
      </c>
      <c r="F27" s="7">
        <v>17500</v>
      </c>
      <c r="G27" s="7">
        <v>7300</v>
      </c>
      <c r="H27" s="7">
        <v>10200</v>
      </c>
      <c r="I27" s="42">
        <f t="shared" si="1"/>
        <v>35000</v>
      </c>
      <c r="J27" s="7">
        <v>17500</v>
      </c>
      <c r="K27" s="7">
        <v>7300</v>
      </c>
      <c r="L27" s="7">
        <v>10200</v>
      </c>
      <c r="M27" s="43">
        <f t="shared" si="2"/>
        <v>35000</v>
      </c>
      <c r="N27" s="40">
        <f t="shared" si="3"/>
        <v>105000</v>
      </c>
    </row>
    <row r="28" spans="1:14" x14ac:dyDescent="0.25">
      <c r="A28" s="7" t="s">
        <v>46</v>
      </c>
      <c r="B28" s="7">
        <v>17500</v>
      </c>
      <c r="C28" s="7">
        <v>7300</v>
      </c>
      <c r="D28" s="7">
        <v>10200</v>
      </c>
      <c r="E28" s="42">
        <f t="shared" si="0"/>
        <v>35000</v>
      </c>
      <c r="F28" s="7">
        <v>17500</v>
      </c>
      <c r="G28" s="7">
        <v>7300</v>
      </c>
      <c r="H28" s="7">
        <v>10200</v>
      </c>
      <c r="I28" s="42">
        <f t="shared" si="1"/>
        <v>35000</v>
      </c>
      <c r="J28" s="7">
        <v>17500</v>
      </c>
      <c r="K28" s="7">
        <v>7300</v>
      </c>
      <c r="L28" s="7">
        <v>10200</v>
      </c>
      <c r="M28" s="43">
        <f t="shared" si="2"/>
        <v>35000</v>
      </c>
      <c r="N28" s="40">
        <f t="shared" si="3"/>
        <v>105000</v>
      </c>
    </row>
    <row r="29" spans="1:14" x14ac:dyDescent="0.25">
      <c r="A29" s="7" t="s">
        <v>34</v>
      </c>
      <c r="B29" s="7">
        <v>9600</v>
      </c>
      <c r="C29" s="7">
        <v>3600</v>
      </c>
      <c r="D29" s="7">
        <v>6000</v>
      </c>
      <c r="E29" s="42">
        <f t="shared" si="0"/>
        <v>19200</v>
      </c>
      <c r="F29" s="7">
        <v>9600</v>
      </c>
      <c r="G29" s="7">
        <v>3600</v>
      </c>
      <c r="H29" s="7">
        <v>6000</v>
      </c>
      <c r="I29" s="42">
        <f t="shared" si="1"/>
        <v>19200</v>
      </c>
      <c r="J29" s="7">
        <v>9600</v>
      </c>
      <c r="K29" s="7">
        <v>3600</v>
      </c>
      <c r="L29" s="7">
        <v>6000</v>
      </c>
      <c r="M29" s="43">
        <f t="shared" si="2"/>
        <v>19200</v>
      </c>
      <c r="N29" s="40">
        <f t="shared" si="3"/>
        <v>57600</v>
      </c>
    </row>
    <row r="30" spans="1:14" x14ac:dyDescent="0.25">
      <c r="A30" s="7" t="s">
        <v>47</v>
      </c>
      <c r="B30" s="7">
        <v>9600</v>
      </c>
      <c r="C30" s="7">
        <v>3600</v>
      </c>
      <c r="D30" s="7">
        <v>6000</v>
      </c>
      <c r="E30" s="42">
        <f t="shared" si="0"/>
        <v>19200</v>
      </c>
      <c r="F30" s="7">
        <v>9600</v>
      </c>
      <c r="G30" s="7">
        <v>3600</v>
      </c>
      <c r="H30" s="7">
        <v>6000</v>
      </c>
      <c r="I30" s="42">
        <f t="shared" si="1"/>
        <v>19200</v>
      </c>
      <c r="J30" s="7">
        <v>9600</v>
      </c>
      <c r="K30" s="7">
        <v>3600</v>
      </c>
      <c r="L30" s="7">
        <v>6000</v>
      </c>
      <c r="M30" s="43">
        <f t="shared" si="2"/>
        <v>19200</v>
      </c>
      <c r="N30" s="40">
        <f t="shared" si="3"/>
        <v>57600</v>
      </c>
    </row>
    <row r="31" spans="1:14" x14ac:dyDescent="0.25">
      <c r="A31" s="7" t="s">
        <v>34</v>
      </c>
      <c r="B31" s="7">
        <v>41400</v>
      </c>
      <c r="C31" s="7">
        <v>13600</v>
      </c>
      <c r="D31" s="7">
        <v>27800</v>
      </c>
      <c r="E31" s="42">
        <f t="shared" si="0"/>
        <v>82800</v>
      </c>
      <c r="F31" s="7">
        <v>41400</v>
      </c>
      <c r="G31" s="7">
        <v>13600</v>
      </c>
      <c r="H31" s="7">
        <v>27800</v>
      </c>
      <c r="I31" s="42">
        <f t="shared" si="1"/>
        <v>82800</v>
      </c>
      <c r="J31" s="7">
        <v>41400</v>
      </c>
      <c r="K31" s="7">
        <v>13600</v>
      </c>
      <c r="L31" s="7">
        <v>27800</v>
      </c>
      <c r="M31" s="43">
        <f t="shared" si="2"/>
        <v>82800</v>
      </c>
      <c r="N31" s="40">
        <f t="shared" si="3"/>
        <v>248400</v>
      </c>
    </row>
    <row r="32" spans="1:14" x14ac:dyDescent="0.25">
      <c r="A32" s="7" t="s">
        <v>34</v>
      </c>
      <c r="B32" s="7">
        <v>47100</v>
      </c>
      <c r="C32" s="7">
        <v>19500</v>
      </c>
      <c r="D32" s="7">
        <v>27600</v>
      </c>
      <c r="E32" s="42">
        <f t="shared" si="0"/>
        <v>94200</v>
      </c>
      <c r="F32" s="7">
        <v>47100</v>
      </c>
      <c r="G32" s="7">
        <v>19500</v>
      </c>
      <c r="H32" s="7">
        <v>27600</v>
      </c>
      <c r="I32" s="42">
        <f t="shared" si="1"/>
        <v>94200</v>
      </c>
      <c r="J32" s="7">
        <v>47100</v>
      </c>
      <c r="K32" s="7">
        <v>19500</v>
      </c>
      <c r="L32" s="7">
        <v>27600</v>
      </c>
      <c r="M32" s="43">
        <f t="shared" si="2"/>
        <v>94200</v>
      </c>
      <c r="N32" s="40">
        <f t="shared" si="3"/>
        <v>282600</v>
      </c>
    </row>
    <row r="33" spans="1:14" x14ac:dyDescent="0.25">
      <c r="A33" s="8" t="s">
        <v>35</v>
      </c>
      <c r="B33" s="7">
        <v>169800</v>
      </c>
      <c r="C33" s="7">
        <v>71300</v>
      </c>
      <c r="D33" s="7">
        <v>98500</v>
      </c>
      <c r="E33" s="42">
        <f t="shared" si="0"/>
        <v>339600</v>
      </c>
      <c r="F33" s="7">
        <v>169800</v>
      </c>
      <c r="G33" s="7">
        <v>71300</v>
      </c>
      <c r="H33" s="7">
        <v>98500</v>
      </c>
      <c r="I33" s="42">
        <f t="shared" si="1"/>
        <v>339600</v>
      </c>
      <c r="J33" s="7">
        <v>169800</v>
      </c>
      <c r="K33" s="7">
        <v>71300</v>
      </c>
      <c r="L33" s="7">
        <v>98500</v>
      </c>
      <c r="M33" s="43">
        <f t="shared" si="2"/>
        <v>339600</v>
      </c>
      <c r="N33" s="40">
        <f t="shared" si="3"/>
        <v>1018800</v>
      </c>
    </row>
    <row r="34" spans="1:14" x14ac:dyDescent="0.25">
      <c r="A34" s="7" t="s">
        <v>48</v>
      </c>
      <c r="B34" s="7">
        <v>80800</v>
      </c>
      <c r="C34" s="7">
        <v>40000</v>
      </c>
      <c r="D34" s="7">
        <v>50000</v>
      </c>
      <c r="E34" s="42">
        <f t="shared" si="0"/>
        <v>170800</v>
      </c>
      <c r="F34" s="7">
        <v>80800</v>
      </c>
      <c r="G34" s="7">
        <v>40000</v>
      </c>
      <c r="H34" s="7">
        <v>50000</v>
      </c>
      <c r="I34" s="42">
        <f t="shared" si="1"/>
        <v>170800</v>
      </c>
      <c r="J34" s="7">
        <v>80800</v>
      </c>
      <c r="K34" s="7">
        <v>40000</v>
      </c>
      <c r="L34" s="7">
        <v>50000</v>
      </c>
      <c r="M34" s="43">
        <f t="shared" si="2"/>
        <v>170800</v>
      </c>
      <c r="N34" s="40">
        <f t="shared" si="3"/>
        <v>512400</v>
      </c>
    </row>
    <row r="35" spans="1:14" x14ac:dyDescent="0.25">
      <c r="A35" s="7" t="s">
        <v>49</v>
      </c>
      <c r="B35" s="7">
        <v>89000</v>
      </c>
      <c r="C35" s="7">
        <v>31300</v>
      </c>
      <c r="D35" s="7">
        <v>48500</v>
      </c>
      <c r="E35" s="42">
        <f t="shared" si="0"/>
        <v>168800</v>
      </c>
      <c r="F35" s="7">
        <v>89000</v>
      </c>
      <c r="G35" s="7">
        <v>31300</v>
      </c>
      <c r="H35" s="7">
        <v>48500</v>
      </c>
      <c r="I35" s="42">
        <f t="shared" si="1"/>
        <v>168800</v>
      </c>
      <c r="J35" s="7">
        <v>89000</v>
      </c>
      <c r="K35" s="7">
        <v>31300</v>
      </c>
      <c r="L35" s="7">
        <v>48500</v>
      </c>
      <c r="M35" s="43">
        <f t="shared" si="2"/>
        <v>168800</v>
      </c>
      <c r="N35" s="40">
        <f t="shared" si="3"/>
        <v>506400</v>
      </c>
    </row>
    <row r="36" spans="1:14" x14ac:dyDescent="0.25">
      <c r="A36" s="7" t="s">
        <v>36</v>
      </c>
      <c r="B36" s="7">
        <v>23800</v>
      </c>
      <c r="C36" s="7">
        <v>15700</v>
      </c>
      <c r="D36" s="7">
        <v>8100</v>
      </c>
      <c r="E36" s="42">
        <f t="shared" si="0"/>
        <v>47600</v>
      </c>
      <c r="F36" s="7">
        <v>23800</v>
      </c>
      <c r="G36" s="7">
        <v>15700</v>
      </c>
      <c r="H36" s="7">
        <v>8100</v>
      </c>
      <c r="I36" s="42">
        <f t="shared" si="1"/>
        <v>47600</v>
      </c>
      <c r="J36" s="7">
        <v>23800</v>
      </c>
      <c r="K36" s="7">
        <v>15700</v>
      </c>
      <c r="L36" s="7">
        <v>8100</v>
      </c>
      <c r="M36" s="43">
        <f t="shared" si="2"/>
        <v>47600</v>
      </c>
      <c r="N36" s="40">
        <f t="shared" si="3"/>
        <v>142800</v>
      </c>
    </row>
    <row r="37" spans="1:14" x14ac:dyDescent="0.25">
      <c r="A37" s="7" t="s">
        <v>48</v>
      </c>
      <c r="B37" s="7">
        <v>10800</v>
      </c>
      <c r="C37" s="7">
        <v>8000</v>
      </c>
      <c r="D37" s="7">
        <v>4000</v>
      </c>
      <c r="E37" s="42">
        <f t="shared" si="0"/>
        <v>22800</v>
      </c>
      <c r="F37" s="7">
        <v>10800</v>
      </c>
      <c r="G37" s="7">
        <v>8000</v>
      </c>
      <c r="H37" s="7">
        <v>4000</v>
      </c>
      <c r="I37" s="42">
        <f t="shared" si="1"/>
        <v>22800</v>
      </c>
      <c r="J37" s="7">
        <v>10800</v>
      </c>
      <c r="K37" s="7">
        <v>8000</v>
      </c>
      <c r="L37" s="7">
        <v>4000</v>
      </c>
      <c r="M37" s="43">
        <f t="shared" si="2"/>
        <v>22800</v>
      </c>
      <c r="N37" s="40">
        <f t="shared" si="3"/>
        <v>68400</v>
      </c>
    </row>
    <row r="38" spans="1:14" x14ac:dyDescent="0.25">
      <c r="A38" s="7" t="s">
        <v>49</v>
      </c>
      <c r="B38" s="7">
        <v>13000</v>
      </c>
      <c r="C38" s="7">
        <v>7700</v>
      </c>
      <c r="D38" s="7">
        <v>4100</v>
      </c>
      <c r="E38" s="42">
        <f t="shared" si="0"/>
        <v>24800</v>
      </c>
      <c r="F38" s="7">
        <v>13000</v>
      </c>
      <c r="G38" s="7">
        <v>7700</v>
      </c>
      <c r="H38" s="7">
        <v>4100</v>
      </c>
      <c r="I38" s="42">
        <f t="shared" si="1"/>
        <v>24800</v>
      </c>
      <c r="J38" s="7">
        <v>13000</v>
      </c>
      <c r="K38" s="7">
        <v>7700</v>
      </c>
      <c r="L38" s="7">
        <v>4100</v>
      </c>
      <c r="M38" s="43">
        <f t="shared" si="2"/>
        <v>24800</v>
      </c>
      <c r="N38" s="40">
        <f t="shared" si="3"/>
        <v>74400</v>
      </c>
    </row>
    <row r="39" spans="1:14" x14ac:dyDescent="0.25">
      <c r="A39" s="7" t="s">
        <v>37</v>
      </c>
      <c r="B39" s="7">
        <v>40800</v>
      </c>
      <c r="C39" s="7">
        <v>19400</v>
      </c>
      <c r="D39" s="7">
        <v>21400</v>
      </c>
      <c r="E39" s="42">
        <f t="shared" si="0"/>
        <v>81600</v>
      </c>
      <c r="F39" s="7">
        <v>40800</v>
      </c>
      <c r="G39" s="7">
        <v>19400</v>
      </c>
      <c r="H39" s="7">
        <v>21400</v>
      </c>
      <c r="I39" s="42">
        <f t="shared" si="1"/>
        <v>81600</v>
      </c>
      <c r="J39" s="7">
        <v>40800</v>
      </c>
      <c r="K39" s="7">
        <v>19400</v>
      </c>
      <c r="L39" s="7">
        <v>21400</v>
      </c>
      <c r="M39" s="43">
        <f t="shared" si="2"/>
        <v>81600</v>
      </c>
      <c r="N39" s="40">
        <f t="shared" si="3"/>
        <v>244800</v>
      </c>
    </row>
    <row r="40" spans="1:14" x14ac:dyDescent="0.25">
      <c r="A40" s="7" t="s">
        <v>48</v>
      </c>
      <c r="B40" s="13">
        <v>20800</v>
      </c>
      <c r="C40" s="13">
        <v>10000</v>
      </c>
      <c r="D40" s="13">
        <v>11400</v>
      </c>
      <c r="E40" s="42">
        <f t="shared" si="0"/>
        <v>42200</v>
      </c>
      <c r="F40" s="13">
        <v>20800</v>
      </c>
      <c r="G40" s="13">
        <v>10000</v>
      </c>
      <c r="H40" s="13">
        <v>11400</v>
      </c>
      <c r="I40" s="42">
        <f t="shared" si="1"/>
        <v>42200</v>
      </c>
      <c r="J40" s="13">
        <v>20800</v>
      </c>
      <c r="K40" s="13">
        <v>10000</v>
      </c>
      <c r="L40" s="13">
        <v>11400</v>
      </c>
      <c r="M40" s="43">
        <f t="shared" si="2"/>
        <v>42200</v>
      </c>
      <c r="N40" s="40">
        <f t="shared" si="3"/>
        <v>126600</v>
      </c>
    </row>
    <row r="41" spans="1:14" x14ac:dyDescent="0.25">
      <c r="A41" s="7" t="s">
        <v>49</v>
      </c>
      <c r="B41" s="7">
        <v>20000</v>
      </c>
      <c r="C41" s="7">
        <v>9400</v>
      </c>
      <c r="D41" s="7">
        <v>10000</v>
      </c>
      <c r="E41" s="42">
        <f t="shared" si="0"/>
        <v>39400</v>
      </c>
      <c r="F41" s="7">
        <v>20000</v>
      </c>
      <c r="G41" s="7">
        <v>9400</v>
      </c>
      <c r="H41" s="7">
        <v>10000</v>
      </c>
      <c r="I41" s="42">
        <f t="shared" si="1"/>
        <v>39400</v>
      </c>
      <c r="J41" s="7">
        <v>20000</v>
      </c>
      <c r="K41" s="7">
        <v>9400</v>
      </c>
      <c r="L41" s="7">
        <v>10000</v>
      </c>
      <c r="M41" s="43">
        <f t="shared" si="2"/>
        <v>39400</v>
      </c>
      <c r="N41" s="40">
        <f t="shared" si="3"/>
        <v>118200</v>
      </c>
    </row>
    <row r="42" spans="1:14" x14ac:dyDescent="0.25">
      <c r="A42" s="7" t="s">
        <v>37</v>
      </c>
      <c r="B42" s="7">
        <v>32900</v>
      </c>
      <c r="C42" s="7">
        <v>11800</v>
      </c>
      <c r="D42" s="7">
        <v>21100</v>
      </c>
      <c r="E42" s="42">
        <f t="shared" si="0"/>
        <v>65800</v>
      </c>
      <c r="F42" s="7">
        <v>32900</v>
      </c>
      <c r="G42" s="7">
        <v>11800</v>
      </c>
      <c r="H42" s="7">
        <v>21100</v>
      </c>
      <c r="I42" s="42">
        <f t="shared" si="1"/>
        <v>65800</v>
      </c>
      <c r="J42" s="7">
        <v>32900</v>
      </c>
      <c r="K42" s="7">
        <v>11800</v>
      </c>
      <c r="L42" s="7">
        <v>21100</v>
      </c>
      <c r="M42" s="43">
        <f t="shared" si="2"/>
        <v>65800</v>
      </c>
      <c r="N42" s="40">
        <f t="shared" si="3"/>
        <v>197400</v>
      </c>
    </row>
    <row r="43" spans="1:14" x14ac:dyDescent="0.25">
      <c r="A43" s="7" t="s">
        <v>48</v>
      </c>
      <c r="B43" s="7">
        <v>32900</v>
      </c>
      <c r="C43" s="7">
        <v>11800</v>
      </c>
      <c r="D43" s="7">
        <v>21100</v>
      </c>
      <c r="E43" s="42">
        <f t="shared" si="0"/>
        <v>65800</v>
      </c>
      <c r="F43" s="7">
        <v>32900</v>
      </c>
      <c r="G43" s="7">
        <v>11800</v>
      </c>
      <c r="H43" s="7">
        <v>21100</v>
      </c>
      <c r="I43" s="42">
        <f t="shared" si="1"/>
        <v>65800</v>
      </c>
      <c r="J43" s="7">
        <v>32900</v>
      </c>
      <c r="K43" s="7">
        <v>11800</v>
      </c>
      <c r="L43" s="7">
        <v>21100</v>
      </c>
      <c r="M43" s="43">
        <f t="shared" si="2"/>
        <v>65800</v>
      </c>
      <c r="N43" s="40">
        <f t="shared" si="3"/>
        <v>197400</v>
      </c>
    </row>
    <row r="44" spans="1:14" x14ac:dyDescent="0.25">
      <c r="A44" s="7" t="s">
        <v>38</v>
      </c>
      <c r="B44" s="7">
        <v>21700</v>
      </c>
      <c r="C44" s="7">
        <v>13300</v>
      </c>
      <c r="D44" s="7">
        <v>8400</v>
      </c>
      <c r="E44" s="42">
        <f t="shared" si="0"/>
        <v>43400</v>
      </c>
      <c r="F44" s="7">
        <v>21700</v>
      </c>
      <c r="G44" s="7">
        <v>13300</v>
      </c>
      <c r="H44" s="7">
        <v>8400</v>
      </c>
      <c r="I44" s="42">
        <f t="shared" si="1"/>
        <v>43400</v>
      </c>
      <c r="J44" s="7">
        <v>21700</v>
      </c>
      <c r="K44" s="7">
        <v>13300</v>
      </c>
      <c r="L44" s="7">
        <v>8400</v>
      </c>
      <c r="M44" s="43">
        <f t="shared" si="2"/>
        <v>43400</v>
      </c>
      <c r="N44" s="40">
        <f t="shared" si="3"/>
        <v>130200</v>
      </c>
    </row>
    <row r="45" spans="1:14" x14ac:dyDescent="0.25">
      <c r="A45" s="7" t="s">
        <v>49</v>
      </c>
      <c r="B45" s="7">
        <v>21700</v>
      </c>
      <c r="C45" s="7">
        <v>13300</v>
      </c>
      <c r="D45" s="7">
        <v>8400</v>
      </c>
      <c r="E45" s="42">
        <f t="shared" si="0"/>
        <v>43400</v>
      </c>
      <c r="F45" s="7">
        <v>21700</v>
      </c>
      <c r="G45" s="7">
        <v>13300</v>
      </c>
      <c r="H45" s="7">
        <v>8400</v>
      </c>
      <c r="I45" s="42">
        <f t="shared" si="1"/>
        <v>43400</v>
      </c>
      <c r="J45" s="7">
        <v>21700</v>
      </c>
      <c r="K45" s="7">
        <v>13300</v>
      </c>
      <c r="L45" s="7">
        <v>8400</v>
      </c>
      <c r="M45" s="43">
        <f t="shared" si="2"/>
        <v>43400</v>
      </c>
      <c r="N45" s="40">
        <f t="shared" si="3"/>
        <v>130200</v>
      </c>
    </row>
    <row r="46" spans="1:14" x14ac:dyDescent="0.25">
      <c r="A46" s="7" t="s">
        <v>38</v>
      </c>
      <c r="B46" s="7">
        <v>50600</v>
      </c>
      <c r="C46" s="7">
        <v>11100</v>
      </c>
      <c r="D46" s="7">
        <v>39500</v>
      </c>
      <c r="E46" s="42">
        <f t="shared" si="0"/>
        <v>101200</v>
      </c>
      <c r="F46" s="7">
        <v>50600</v>
      </c>
      <c r="G46" s="7">
        <v>11100</v>
      </c>
      <c r="H46" s="7">
        <v>39500</v>
      </c>
      <c r="I46" s="42">
        <f t="shared" si="1"/>
        <v>101200</v>
      </c>
      <c r="J46" s="7">
        <v>50600</v>
      </c>
      <c r="K46" s="7">
        <v>11100</v>
      </c>
      <c r="L46" s="7">
        <v>39500</v>
      </c>
      <c r="M46" s="43">
        <f t="shared" si="2"/>
        <v>101200</v>
      </c>
      <c r="N46" s="40">
        <f t="shared" si="3"/>
        <v>303600</v>
      </c>
    </row>
    <row r="47" spans="1:14" x14ac:dyDescent="0.25">
      <c r="A47" s="7" t="s">
        <v>48</v>
      </c>
      <c r="B47" s="7">
        <v>50600</v>
      </c>
      <c r="C47" s="7">
        <v>11100</v>
      </c>
      <c r="D47" s="7">
        <v>39500</v>
      </c>
      <c r="E47" s="42">
        <f t="shared" si="0"/>
        <v>101200</v>
      </c>
      <c r="F47" s="7">
        <v>50600</v>
      </c>
      <c r="G47" s="7">
        <v>11100</v>
      </c>
      <c r="H47" s="7">
        <v>39500</v>
      </c>
      <c r="I47" s="42">
        <f t="shared" si="1"/>
        <v>101200</v>
      </c>
      <c r="J47" s="7">
        <v>50600</v>
      </c>
      <c r="K47" s="7">
        <v>11100</v>
      </c>
      <c r="L47" s="7">
        <v>39500</v>
      </c>
      <c r="M47" s="43">
        <f t="shared" si="2"/>
        <v>101200</v>
      </c>
      <c r="N47" s="40">
        <f t="shared" si="3"/>
        <v>303600</v>
      </c>
    </row>
    <row r="48" spans="1:14" x14ac:dyDescent="0.25">
      <c r="A48" s="9" t="s">
        <v>39</v>
      </c>
      <c r="B48" s="7">
        <v>128700</v>
      </c>
      <c r="C48" s="7">
        <v>41700</v>
      </c>
      <c r="D48" s="7">
        <v>87000</v>
      </c>
      <c r="E48" s="42">
        <f t="shared" si="0"/>
        <v>257400</v>
      </c>
      <c r="F48" s="7">
        <v>128700</v>
      </c>
      <c r="G48" s="7">
        <v>41700</v>
      </c>
      <c r="H48" s="7">
        <v>87000</v>
      </c>
      <c r="I48" s="42">
        <f t="shared" si="1"/>
        <v>257400</v>
      </c>
      <c r="J48" s="7">
        <v>128700</v>
      </c>
      <c r="K48" s="7">
        <v>41700</v>
      </c>
      <c r="L48" s="7">
        <v>87000</v>
      </c>
      <c r="M48" s="43">
        <f t="shared" si="2"/>
        <v>257400</v>
      </c>
      <c r="N48" s="40">
        <f t="shared" si="3"/>
        <v>772200</v>
      </c>
    </row>
    <row r="49" spans="1:14" x14ac:dyDescent="0.25">
      <c r="A49" s="8" t="s">
        <v>40</v>
      </c>
      <c r="B49" s="7">
        <v>128700</v>
      </c>
      <c r="C49" s="7">
        <v>41700</v>
      </c>
      <c r="D49" s="7">
        <v>87000</v>
      </c>
      <c r="E49" s="42">
        <f t="shared" si="0"/>
        <v>257400</v>
      </c>
      <c r="F49" s="7">
        <v>128700</v>
      </c>
      <c r="G49" s="7">
        <v>41700</v>
      </c>
      <c r="H49" s="7">
        <v>87000</v>
      </c>
      <c r="I49" s="42">
        <f t="shared" si="1"/>
        <v>257400</v>
      </c>
      <c r="J49" s="7">
        <v>128700</v>
      </c>
      <c r="K49" s="7">
        <v>41700</v>
      </c>
      <c r="L49" s="7">
        <v>87000</v>
      </c>
      <c r="M49" s="43">
        <f t="shared" si="2"/>
        <v>257400</v>
      </c>
      <c r="N49" s="40">
        <f t="shared" si="3"/>
        <v>772200</v>
      </c>
    </row>
    <row r="50" spans="1:14" x14ac:dyDescent="0.25">
      <c r="A50" s="7" t="s">
        <v>33</v>
      </c>
      <c r="B50" s="7">
        <v>20600</v>
      </c>
      <c r="C50" s="7">
        <v>8800</v>
      </c>
      <c r="D50" s="7">
        <v>11800</v>
      </c>
      <c r="E50" s="42">
        <f t="shared" si="0"/>
        <v>41200</v>
      </c>
      <c r="F50" s="7">
        <v>20600</v>
      </c>
      <c r="G50" s="7">
        <v>8800</v>
      </c>
      <c r="H50" s="7">
        <v>11800</v>
      </c>
      <c r="I50" s="42">
        <f t="shared" si="1"/>
        <v>41200</v>
      </c>
      <c r="J50" s="7">
        <v>20600</v>
      </c>
      <c r="K50" s="7">
        <v>8800</v>
      </c>
      <c r="L50" s="7">
        <v>11800</v>
      </c>
      <c r="M50" s="43">
        <f t="shared" si="2"/>
        <v>41200</v>
      </c>
      <c r="N50" s="40">
        <f t="shared" si="3"/>
        <v>123600</v>
      </c>
    </row>
    <row r="51" spans="1:14" x14ac:dyDescent="0.25">
      <c r="A51" s="7" t="s">
        <v>44</v>
      </c>
      <c r="B51" s="7">
        <v>20600</v>
      </c>
      <c r="C51" s="7">
        <v>8800</v>
      </c>
      <c r="D51" s="7">
        <v>11800</v>
      </c>
      <c r="E51" s="42">
        <f t="shared" si="0"/>
        <v>41200</v>
      </c>
      <c r="F51" s="7">
        <v>20600</v>
      </c>
      <c r="G51" s="7">
        <v>8800</v>
      </c>
      <c r="H51" s="7">
        <v>11800</v>
      </c>
      <c r="I51" s="42">
        <f t="shared" si="1"/>
        <v>41200</v>
      </c>
      <c r="J51" s="7">
        <v>20600</v>
      </c>
      <c r="K51" s="7">
        <v>8800</v>
      </c>
      <c r="L51" s="7">
        <v>11800</v>
      </c>
      <c r="M51" s="43">
        <f t="shared" si="2"/>
        <v>41200</v>
      </c>
      <c r="N51" s="40">
        <f t="shared" si="3"/>
        <v>123600</v>
      </c>
    </row>
    <row r="52" spans="1:14" x14ac:dyDescent="0.25">
      <c r="A52" s="7" t="s">
        <v>34</v>
      </c>
      <c r="B52" s="7">
        <v>9300</v>
      </c>
      <c r="C52" s="7">
        <v>3600</v>
      </c>
      <c r="D52" s="7">
        <v>5700</v>
      </c>
      <c r="E52" s="42">
        <f t="shared" si="0"/>
        <v>18600</v>
      </c>
      <c r="F52" s="7">
        <v>9300</v>
      </c>
      <c r="G52" s="7">
        <v>3600</v>
      </c>
      <c r="H52" s="7">
        <v>5700</v>
      </c>
      <c r="I52" s="42">
        <f t="shared" si="1"/>
        <v>18600</v>
      </c>
      <c r="J52" s="7">
        <v>9300</v>
      </c>
      <c r="K52" s="7">
        <v>3600</v>
      </c>
      <c r="L52" s="7">
        <v>5700</v>
      </c>
      <c r="M52" s="43">
        <f t="shared" si="2"/>
        <v>18600</v>
      </c>
      <c r="N52" s="40">
        <f t="shared" si="3"/>
        <v>55800</v>
      </c>
    </row>
    <row r="53" spans="1:14" x14ac:dyDescent="0.25">
      <c r="A53" s="7" t="s">
        <v>45</v>
      </c>
      <c r="B53" s="7">
        <v>9300</v>
      </c>
      <c r="C53" s="7">
        <v>3600</v>
      </c>
      <c r="D53" s="7">
        <v>5700</v>
      </c>
      <c r="E53" s="42">
        <f t="shared" si="0"/>
        <v>18600</v>
      </c>
      <c r="F53" s="7">
        <v>9300</v>
      </c>
      <c r="G53" s="7">
        <v>3600</v>
      </c>
      <c r="H53" s="7">
        <v>5700</v>
      </c>
      <c r="I53" s="42">
        <f t="shared" si="1"/>
        <v>18600</v>
      </c>
      <c r="J53" s="7">
        <v>9300</v>
      </c>
      <c r="K53" s="7">
        <v>3600</v>
      </c>
      <c r="L53" s="7">
        <v>5700</v>
      </c>
      <c r="M53" s="43">
        <f t="shared" si="2"/>
        <v>18600</v>
      </c>
      <c r="N53" s="40">
        <f t="shared" si="3"/>
        <v>55800</v>
      </c>
    </row>
    <row r="54" spans="1:14" x14ac:dyDescent="0.25">
      <c r="A54" s="7" t="s">
        <v>34</v>
      </c>
      <c r="B54" s="7">
        <v>50800</v>
      </c>
      <c r="C54" s="7">
        <v>12300</v>
      </c>
      <c r="D54" s="7">
        <v>38500</v>
      </c>
      <c r="E54" s="42">
        <f t="shared" si="0"/>
        <v>101600</v>
      </c>
      <c r="F54" s="7">
        <v>50800</v>
      </c>
      <c r="G54" s="7">
        <v>12300</v>
      </c>
      <c r="H54" s="7">
        <v>38500</v>
      </c>
      <c r="I54" s="42">
        <f t="shared" si="1"/>
        <v>101600</v>
      </c>
      <c r="J54" s="7">
        <v>50800</v>
      </c>
      <c r="K54" s="7">
        <v>12300</v>
      </c>
      <c r="L54" s="7">
        <v>38500</v>
      </c>
      <c r="M54" s="43">
        <f t="shared" si="2"/>
        <v>101600</v>
      </c>
      <c r="N54" s="40">
        <f t="shared" si="3"/>
        <v>304800</v>
      </c>
    </row>
    <row r="55" spans="1:14" x14ac:dyDescent="0.25">
      <c r="A55" s="7" t="s">
        <v>46</v>
      </c>
      <c r="B55" s="7">
        <v>50800</v>
      </c>
      <c r="C55" s="7">
        <v>12300</v>
      </c>
      <c r="D55" s="7">
        <v>38500</v>
      </c>
      <c r="E55" s="42">
        <f t="shared" si="0"/>
        <v>101600</v>
      </c>
      <c r="F55" s="7">
        <v>50800</v>
      </c>
      <c r="G55" s="7">
        <v>12300</v>
      </c>
      <c r="H55" s="7">
        <v>38500</v>
      </c>
      <c r="I55" s="42">
        <f t="shared" si="1"/>
        <v>101600</v>
      </c>
      <c r="J55" s="7">
        <v>50800</v>
      </c>
      <c r="K55" s="7">
        <v>12300</v>
      </c>
      <c r="L55" s="7">
        <v>38500</v>
      </c>
      <c r="M55" s="43">
        <f t="shared" si="2"/>
        <v>101600</v>
      </c>
      <c r="N55" s="40">
        <f t="shared" si="3"/>
        <v>304800</v>
      </c>
    </row>
    <row r="56" spans="1:14" x14ac:dyDescent="0.25">
      <c r="A56" s="7" t="s">
        <v>34</v>
      </c>
      <c r="B56" s="7">
        <v>48000</v>
      </c>
      <c r="C56" s="7">
        <v>17000</v>
      </c>
      <c r="D56" s="7">
        <v>31000</v>
      </c>
      <c r="E56" s="42">
        <f t="shared" si="0"/>
        <v>96000</v>
      </c>
      <c r="F56" s="7">
        <v>48000</v>
      </c>
      <c r="G56" s="7">
        <v>17000</v>
      </c>
      <c r="H56" s="7">
        <v>31000</v>
      </c>
      <c r="I56" s="42">
        <f t="shared" si="1"/>
        <v>96000</v>
      </c>
      <c r="J56" s="7">
        <v>48000</v>
      </c>
      <c r="K56" s="7">
        <v>17000</v>
      </c>
      <c r="L56" s="7">
        <v>31000</v>
      </c>
      <c r="M56" s="43">
        <f t="shared" si="2"/>
        <v>96000</v>
      </c>
      <c r="N56" s="40">
        <f t="shared" si="3"/>
        <v>288000</v>
      </c>
    </row>
    <row r="57" spans="1:14" x14ac:dyDescent="0.25">
      <c r="A57" s="7" t="s">
        <v>47</v>
      </c>
      <c r="B57" s="7">
        <v>48000</v>
      </c>
      <c r="C57" s="7">
        <v>17000</v>
      </c>
      <c r="D57" s="7">
        <v>31000</v>
      </c>
      <c r="E57" s="42">
        <f t="shared" si="0"/>
        <v>96000</v>
      </c>
      <c r="F57" s="7">
        <v>48000</v>
      </c>
      <c r="G57" s="7">
        <v>17000</v>
      </c>
      <c r="H57" s="7">
        <v>31000</v>
      </c>
      <c r="I57" s="42">
        <f t="shared" si="1"/>
        <v>96000</v>
      </c>
      <c r="J57" s="7">
        <v>48000</v>
      </c>
      <c r="K57" s="7">
        <v>17000</v>
      </c>
      <c r="L57" s="7">
        <v>31000</v>
      </c>
      <c r="M57" s="43">
        <f t="shared" si="2"/>
        <v>96000</v>
      </c>
      <c r="N57" s="40">
        <f t="shared" si="3"/>
        <v>288000</v>
      </c>
    </row>
    <row r="58" spans="1:14" x14ac:dyDescent="0.25">
      <c r="A58" s="36" t="s">
        <v>41</v>
      </c>
      <c r="B58" s="36">
        <v>600000</v>
      </c>
      <c r="C58" s="36">
        <v>250000</v>
      </c>
      <c r="D58" s="36">
        <v>350000</v>
      </c>
      <c r="E58" s="44"/>
      <c r="F58" s="12"/>
      <c r="G58" s="12"/>
      <c r="H58" s="12"/>
      <c r="I58" s="43"/>
      <c r="J58" s="12"/>
      <c r="K58" s="12"/>
      <c r="L58" s="12"/>
      <c r="M58" s="43"/>
      <c r="N58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0977-6258-4508-87DD-DF0F82A81B9E}">
  <dimension ref="A1:M60"/>
  <sheetViews>
    <sheetView zoomScale="85" zoomScaleNormal="85" workbookViewId="0">
      <selection activeCell="A70" sqref="A70"/>
    </sheetView>
  </sheetViews>
  <sheetFormatPr defaultRowHeight="15" outlineLevelRow="4" x14ac:dyDescent="0.25"/>
  <cols>
    <col min="1" max="1" width="32.140625" customWidth="1"/>
    <col min="2" max="2" width="10.42578125" customWidth="1"/>
    <col min="3" max="3" width="14.42578125" customWidth="1"/>
    <col min="4" max="4" width="14.28515625" customWidth="1"/>
    <col min="16" max="16" width="32.28515625" customWidth="1"/>
    <col min="18" max="18" width="16.42578125" customWidth="1"/>
    <col min="19" max="19" width="16.5703125" customWidth="1"/>
    <col min="21" max="21" width="18.5703125" customWidth="1"/>
    <col min="22" max="22" width="20.85546875" customWidth="1"/>
  </cols>
  <sheetData>
    <row r="1" spans="1:13" ht="22.5" x14ac:dyDescent="0.45">
      <c r="A1" t="s">
        <v>42</v>
      </c>
      <c r="G1" s="20" t="s">
        <v>52</v>
      </c>
      <c r="H1" s="21"/>
      <c r="I1" s="21"/>
      <c r="J1" s="21"/>
      <c r="K1" s="21"/>
      <c r="L1" s="21"/>
      <c r="M1" s="21"/>
    </row>
    <row r="2" spans="1:13" ht="27" x14ac:dyDescent="0.5">
      <c r="G2" s="51" t="s">
        <v>190</v>
      </c>
    </row>
    <row r="3" spans="1:13" x14ac:dyDescent="0.25">
      <c r="A3" t="s">
        <v>43</v>
      </c>
    </row>
    <row r="6" spans="1:13" x14ac:dyDescent="0.25">
      <c r="A6" s="7" t="s">
        <v>24</v>
      </c>
      <c r="B6" s="10" t="s">
        <v>28</v>
      </c>
      <c r="C6" s="11">
        <v>45292</v>
      </c>
      <c r="D6" s="11">
        <v>45323</v>
      </c>
    </row>
    <row r="7" spans="1:13" ht="15.75" x14ac:dyDescent="0.25">
      <c r="A7" s="7" t="s">
        <v>25</v>
      </c>
      <c r="B7" s="66"/>
      <c r="C7" s="66"/>
      <c r="D7" s="66"/>
      <c r="I7" s="37" t="s">
        <v>184</v>
      </c>
      <c r="J7" s="50"/>
    </row>
    <row r="8" spans="1:13" ht="15.75" x14ac:dyDescent="0.25">
      <c r="A8" s="7" t="s">
        <v>26</v>
      </c>
      <c r="B8" s="66"/>
      <c r="C8" s="66"/>
      <c r="D8" s="66"/>
      <c r="I8">
        <v>1</v>
      </c>
      <c r="J8" s="35" t="s">
        <v>185</v>
      </c>
    </row>
    <row r="9" spans="1:13" ht="15.75" x14ac:dyDescent="0.25">
      <c r="A9" s="7" t="s">
        <v>27</v>
      </c>
      <c r="B9" s="66"/>
      <c r="C9" s="66"/>
      <c r="D9" s="66"/>
      <c r="I9">
        <v>2</v>
      </c>
      <c r="J9" s="35" t="s">
        <v>188</v>
      </c>
    </row>
    <row r="10" spans="1:13" ht="15.75" outlineLevel="1" x14ac:dyDescent="0.25">
      <c r="A10" s="9" t="s">
        <v>29</v>
      </c>
      <c r="B10" s="7">
        <v>471300</v>
      </c>
      <c r="C10" s="7">
        <v>208300</v>
      </c>
      <c r="D10" s="7">
        <v>263000</v>
      </c>
      <c r="I10">
        <v>3</v>
      </c>
      <c r="J10" s="35" t="s">
        <v>189</v>
      </c>
    </row>
    <row r="11" spans="1:13" ht="15.75" outlineLevel="2" x14ac:dyDescent="0.25">
      <c r="A11" s="8" t="s">
        <v>30</v>
      </c>
      <c r="B11" s="7">
        <v>301500</v>
      </c>
      <c r="C11" s="7">
        <v>137000</v>
      </c>
      <c r="D11" s="7">
        <v>164500</v>
      </c>
      <c r="I11">
        <v>4</v>
      </c>
      <c r="J11" s="35" t="s">
        <v>186</v>
      </c>
    </row>
    <row r="12" spans="1:13" ht="15.75" hidden="1" outlineLevel="3" x14ac:dyDescent="0.25">
      <c r="A12" s="7" t="s">
        <v>31</v>
      </c>
      <c r="B12" s="7">
        <v>35300</v>
      </c>
      <c r="C12" s="7">
        <v>12900</v>
      </c>
      <c r="D12" s="7">
        <v>22400</v>
      </c>
      <c r="I12">
        <v>5</v>
      </c>
      <c r="J12" s="35" t="s">
        <v>187</v>
      </c>
    </row>
    <row r="13" spans="1:13" hidden="1" outlineLevel="4" x14ac:dyDescent="0.25">
      <c r="A13" s="7" t="s">
        <v>44</v>
      </c>
      <c r="B13" s="7">
        <v>9000</v>
      </c>
      <c r="C13" s="7">
        <v>3000</v>
      </c>
      <c r="D13" s="7">
        <v>5400</v>
      </c>
    </row>
    <row r="14" spans="1:13" hidden="1" outlineLevel="4" x14ac:dyDescent="0.25">
      <c r="A14" s="7" t="s">
        <v>45</v>
      </c>
      <c r="B14" s="7">
        <v>8300</v>
      </c>
      <c r="C14" s="7">
        <v>3900</v>
      </c>
      <c r="D14" s="7">
        <v>5500</v>
      </c>
    </row>
    <row r="15" spans="1:13" hidden="1" outlineLevel="4" x14ac:dyDescent="0.25">
      <c r="A15" s="7" t="s">
        <v>46</v>
      </c>
      <c r="B15" s="7">
        <v>9000</v>
      </c>
      <c r="C15" s="7">
        <v>3000</v>
      </c>
      <c r="D15" s="7">
        <v>5700</v>
      </c>
    </row>
    <row r="16" spans="1:13" hidden="1" outlineLevel="4" x14ac:dyDescent="0.25">
      <c r="A16" s="7" t="s">
        <v>47</v>
      </c>
      <c r="B16" s="7">
        <v>9000</v>
      </c>
      <c r="C16" s="7">
        <v>3000</v>
      </c>
      <c r="D16" s="7">
        <v>5800</v>
      </c>
    </row>
    <row r="17" spans="1:4" hidden="1" outlineLevel="3" x14ac:dyDescent="0.25">
      <c r="A17" s="7" t="s">
        <v>32</v>
      </c>
      <c r="B17" s="7">
        <v>53600</v>
      </c>
      <c r="C17" s="7">
        <v>18100</v>
      </c>
      <c r="D17" s="7">
        <v>35500</v>
      </c>
    </row>
    <row r="18" spans="1:4" hidden="1" outlineLevel="4" x14ac:dyDescent="0.25">
      <c r="A18" s="7" t="s">
        <v>44</v>
      </c>
      <c r="B18" s="7">
        <v>15000</v>
      </c>
      <c r="C18" s="7">
        <v>4100</v>
      </c>
      <c r="D18" s="7">
        <v>8900</v>
      </c>
    </row>
    <row r="19" spans="1:4" hidden="1" outlineLevel="4" x14ac:dyDescent="0.25">
      <c r="A19" s="7" t="s">
        <v>45</v>
      </c>
      <c r="B19" s="7">
        <v>13300</v>
      </c>
      <c r="C19" s="7">
        <v>4900</v>
      </c>
      <c r="D19" s="7">
        <v>8900</v>
      </c>
    </row>
    <row r="20" spans="1:4" hidden="1" outlineLevel="4" x14ac:dyDescent="0.25">
      <c r="A20" s="7" t="s">
        <v>46</v>
      </c>
      <c r="B20" s="7">
        <v>12600</v>
      </c>
      <c r="C20" s="7">
        <v>4100</v>
      </c>
      <c r="D20" s="7">
        <v>8900</v>
      </c>
    </row>
    <row r="21" spans="1:4" hidden="1" outlineLevel="4" x14ac:dyDescent="0.25">
      <c r="A21" s="7" t="s">
        <v>47</v>
      </c>
      <c r="B21" s="7">
        <v>12700</v>
      </c>
      <c r="C21" s="7">
        <v>5000</v>
      </c>
      <c r="D21" s="7">
        <v>8800</v>
      </c>
    </row>
    <row r="22" spans="1:4" hidden="1" outlineLevel="3" x14ac:dyDescent="0.25">
      <c r="A22" s="7" t="s">
        <v>32</v>
      </c>
      <c r="B22" s="7">
        <v>53500</v>
      </c>
      <c r="C22" s="7">
        <v>40000</v>
      </c>
      <c r="D22" s="7">
        <v>13500</v>
      </c>
    </row>
    <row r="23" spans="1:4" hidden="1" outlineLevel="4" x14ac:dyDescent="0.25">
      <c r="A23" s="7" t="s">
        <v>44</v>
      </c>
      <c r="B23" s="7">
        <v>26500</v>
      </c>
      <c r="C23" s="7">
        <v>20000</v>
      </c>
      <c r="D23" s="7">
        <v>7500</v>
      </c>
    </row>
    <row r="24" spans="1:4" hidden="1" outlineLevel="4" x14ac:dyDescent="0.25">
      <c r="A24" s="7" t="s">
        <v>45</v>
      </c>
      <c r="B24" s="7">
        <v>27000</v>
      </c>
      <c r="C24" s="7">
        <v>20000</v>
      </c>
      <c r="D24" s="7">
        <v>6000</v>
      </c>
    </row>
    <row r="25" spans="1:4" hidden="1" outlineLevel="3" x14ac:dyDescent="0.25">
      <c r="A25" s="7" t="s">
        <v>33</v>
      </c>
      <c r="B25" s="7">
        <v>21200</v>
      </c>
      <c r="C25" s="7">
        <v>11400</v>
      </c>
      <c r="D25" s="7">
        <v>9800</v>
      </c>
    </row>
    <row r="26" spans="1:4" hidden="1" outlineLevel="4" x14ac:dyDescent="0.25">
      <c r="A26" s="7" t="s">
        <v>44</v>
      </c>
      <c r="B26" s="7">
        <v>21200</v>
      </c>
      <c r="C26" s="7">
        <v>11400</v>
      </c>
      <c r="D26" s="7">
        <v>9800</v>
      </c>
    </row>
    <row r="27" spans="1:4" hidden="1" outlineLevel="3" x14ac:dyDescent="0.25">
      <c r="A27" s="7" t="s">
        <v>33</v>
      </c>
      <c r="B27" s="7">
        <v>22300</v>
      </c>
      <c r="C27" s="7">
        <v>10600</v>
      </c>
      <c r="D27" s="7">
        <v>11700</v>
      </c>
    </row>
    <row r="28" spans="1:4" hidden="1" outlineLevel="4" x14ac:dyDescent="0.25">
      <c r="A28" s="7" t="s">
        <v>45</v>
      </c>
      <c r="B28" s="7">
        <v>22300</v>
      </c>
      <c r="C28" s="7">
        <v>10600</v>
      </c>
      <c r="D28" s="7">
        <v>11700</v>
      </c>
    </row>
    <row r="29" spans="1:4" hidden="1" outlineLevel="3" x14ac:dyDescent="0.25">
      <c r="A29" s="7" t="s">
        <v>33</v>
      </c>
      <c r="B29" s="7">
        <v>17500</v>
      </c>
      <c r="C29" s="7">
        <v>7300</v>
      </c>
      <c r="D29" s="7">
        <v>10200</v>
      </c>
    </row>
    <row r="30" spans="1:4" hidden="1" outlineLevel="4" x14ac:dyDescent="0.25">
      <c r="A30" s="7" t="s">
        <v>46</v>
      </c>
      <c r="B30" s="7">
        <v>17500</v>
      </c>
      <c r="C30" s="7">
        <v>7300</v>
      </c>
      <c r="D30" s="7">
        <v>10200</v>
      </c>
    </row>
    <row r="31" spans="1:4" hidden="1" outlineLevel="3" x14ac:dyDescent="0.25">
      <c r="A31" s="7" t="s">
        <v>34</v>
      </c>
      <c r="B31" s="7">
        <v>9600</v>
      </c>
      <c r="C31" s="7">
        <v>3600</v>
      </c>
      <c r="D31" s="7">
        <v>6000</v>
      </c>
    </row>
    <row r="32" spans="1:4" hidden="1" outlineLevel="4" x14ac:dyDescent="0.25">
      <c r="A32" s="7" t="s">
        <v>47</v>
      </c>
      <c r="B32" s="7">
        <v>9600</v>
      </c>
      <c r="C32" s="7">
        <v>3600</v>
      </c>
      <c r="D32" s="7">
        <v>6000</v>
      </c>
    </row>
    <row r="33" spans="1:10" hidden="1" outlineLevel="3" x14ac:dyDescent="0.25">
      <c r="A33" s="7" t="s">
        <v>34</v>
      </c>
      <c r="B33" s="7">
        <v>41400</v>
      </c>
      <c r="C33" s="7">
        <v>13600</v>
      </c>
      <c r="D33" s="7">
        <v>27800</v>
      </c>
    </row>
    <row r="34" spans="1:10" hidden="1" outlineLevel="3" x14ac:dyDescent="0.25">
      <c r="A34" s="7" t="s">
        <v>34</v>
      </c>
      <c r="B34" s="7">
        <v>47100</v>
      </c>
      <c r="C34" s="7">
        <v>19500</v>
      </c>
      <c r="D34" s="7">
        <v>27600</v>
      </c>
    </row>
    <row r="35" spans="1:10" ht="15.75" outlineLevel="2" collapsed="1" x14ac:dyDescent="0.25">
      <c r="A35" s="8" t="s">
        <v>35</v>
      </c>
      <c r="B35" s="7">
        <v>169800</v>
      </c>
      <c r="C35" s="7">
        <v>71300</v>
      </c>
      <c r="D35" s="7">
        <v>98500</v>
      </c>
      <c r="J35" s="35"/>
    </row>
    <row r="36" spans="1:10" hidden="1" outlineLevel="4" x14ac:dyDescent="0.25">
      <c r="A36" s="7" t="s">
        <v>48</v>
      </c>
      <c r="B36" s="7">
        <v>80800</v>
      </c>
      <c r="C36" s="7">
        <v>40000</v>
      </c>
      <c r="D36" s="7">
        <v>50000</v>
      </c>
    </row>
    <row r="37" spans="1:10" hidden="1" outlineLevel="4" x14ac:dyDescent="0.25">
      <c r="A37" s="7" t="s">
        <v>49</v>
      </c>
      <c r="B37" s="7">
        <v>89000</v>
      </c>
      <c r="C37" s="7">
        <v>31300</v>
      </c>
      <c r="D37" s="7">
        <v>48500</v>
      </c>
    </row>
    <row r="38" spans="1:10" hidden="1" outlineLevel="3" x14ac:dyDescent="0.25">
      <c r="A38" s="7" t="s">
        <v>36</v>
      </c>
      <c r="B38" s="7">
        <v>23800</v>
      </c>
      <c r="C38" s="7">
        <v>15700</v>
      </c>
      <c r="D38" s="7">
        <v>8100</v>
      </c>
    </row>
    <row r="39" spans="1:10" hidden="1" outlineLevel="4" x14ac:dyDescent="0.25">
      <c r="A39" s="7" t="s">
        <v>48</v>
      </c>
      <c r="B39" s="7">
        <v>10800</v>
      </c>
      <c r="C39" s="7">
        <v>8000</v>
      </c>
      <c r="D39" s="7">
        <v>4000</v>
      </c>
    </row>
    <row r="40" spans="1:10" hidden="1" outlineLevel="4" x14ac:dyDescent="0.25">
      <c r="A40" s="7" t="s">
        <v>49</v>
      </c>
      <c r="B40" s="7">
        <v>13000</v>
      </c>
      <c r="C40" s="7">
        <v>7700</v>
      </c>
      <c r="D40" s="7">
        <v>4100</v>
      </c>
    </row>
    <row r="41" spans="1:10" hidden="1" outlineLevel="3" x14ac:dyDescent="0.25">
      <c r="A41" s="7" t="s">
        <v>37</v>
      </c>
      <c r="B41" s="7">
        <v>40800</v>
      </c>
      <c r="C41" s="7">
        <v>19400</v>
      </c>
      <c r="D41" s="7">
        <v>21400</v>
      </c>
    </row>
    <row r="42" spans="1:10" hidden="1" outlineLevel="4" x14ac:dyDescent="0.25">
      <c r="A42" s="7" t="s">
        <v>48</v>
      </c>
      <c r="B42" s="13">
        <v>20800</v>
      </c>
      <c r="C42" s="13">
        <v>10000</v>
      </c>
      <c r="D42" s="13">
        <v>11400</v>
      </c>
    </row>
    <row r="43" spans="1:10" hidden="1" outlineLevel="4" x14ac:dyDescent="0.25">
      <c r="A43" s="7" t="s">
        <v>49</v>
      </c>
      <c r="B43" s="7">
        <v>20000</v>
      </c>
      <c r="C43" s="7">
        <v>9400</v>
      </c>
      <c r="D43" s="7">
        <v>10000</v>
      </c>
    </row>
    <row r="44" spans="1:10" hidden="1" outlineLevel="3" x14ac:dyDescent="0.25">
      <c r="A44" s="7" t="s">
        <v>37</v>
      </c>
      <c r="B44" s="7">
        <v>32900</v>
      </c>
      <c r="C44" s="7">
        <v>11800</v>
      </c>
      <c r="D44" s="7">
        <v>21100</v>
      </c>
    </row>
    <row r="45" spans="1:10" hidden="1" outlineLevel="4" x14ac:dyDescent="0.25">
      <c r="A45" s="7" t="s">
        <v>48</v>
      </c>
      <c r="B45" s="7">
        <v>32900</v>
      </c>
      <c r="C45" s="7">
        <v>11800</v>
      </c>
      <c r="D45" s="7">
        <v>21100</v>
      </c>
    </row>
    <row r="46" spans="1:10" hidden="1" outlineLevel="3" x14ac:dyDescent="0.25">
      <c r="A46" s="7" t="s">
        <v>38</v>
      </c>
      <c r="B46" s="7">
        <v>21700</v>
      </c>
      <c r="C46" s="7">
        <v>13300</v>
      </c>
      <c r="D46" s="7">
        <v>8400</v>
      </c>
    </row>
    <row r="47" spans="1:10" hidden="1" outlineLevel="4" x14ac:dyDescent="0.25">
      <c r="A47" s="7" t="s">
        <v>49</v>
      </c>
      <c r="B47" s="7">
        <v>21700</v>
      </c>
      <c r="C47" s="7">
        <v>13300</v>
      </c>
      <c r="D47" s="7">
        <v>8400</v>
      </c>
    </row>
    <row r="48" spans="1:10" hidden="1" outlineLevel="3" x14ac:dyDescent="0.25">
      <c r="A48" s="7" t="s">
        <v>38</v>
      </c>
      <c r="B48" s="7">
        <v>50600</v>
      </c>
      <c r="C48" s="7">
        <v>11100</v>
      </c>
      <c r="D48" s="7">
        <v>39500</v>
      </c>
    </row>
    <row r="49" spans="1:4" hidden="1" outlineLevel="4" x14ac:dyDescent="0.25">
      <c r="A49" s="7" t="s">
        <v>48</v>
      </c>
      <c r="B49" s="7">
        <v>50600</v>
      </c>
      <c r="C49" s="7">
        <v>11100</v>
      </c>
      <c r="D49" s="7">
        <v>39500</v>
      </c>
    </row>
    <row r="50" spans="1:4" outlineLevel="1" x14ac:dyDescent="0.25">
      <c r="A50" s="9" t="s">
        <v>39</v>
      </c>
      <c r="B50" s="7">
        <v>128700</v>
      </c>
      <c r="C50" s="7">
        <v>41700</v>
      </c>
      <c r="D50" s="7">
        <v>87000</v>
      </c>
    </row>
    <row r="51" spans="1:4" outlineLevel="2" x14ac:dyDescent="0.25">
      <c r="A51" s="8" t="s">
        <v>40</v>
      </c>
      <c r="B51" s="7">
        <v>128700</v>
      </c>
      <c r="C51" s="7">
        <v>41700</v>
      </c>
      <c r="D51" s="7">
        <v>87000</v>
      </c>
    </row>
    <row r="52" spans="1:4" hidden="1" outlineLevel="3" x14ac:dyDescent="0.25">
      <c r="A52" s="7" t="s">
        <v>33</v>
      </c>
      <c r="B52" s="7">
        <v>20600</v>
      </c>
      <c r="C52" s="7">
        <v>8800</v>
      </c>
      <c r="D52" s="7">
        <v>11800</v>
      </c>
    </row>
    <row r="53" spans="1:4" hidden="1" outlineLevel="4" x14ac:dyDescent="0.25">
      <c r="A53" s="7" t="s">
        <v>44</v>
      </c>
      <c r="B53" s="7">
        <v>20600</v>
      </c>
      <c r="C53" s="7">
        <v>8800</v>
      </c>
      <c r="D53" s="7">
        <v>11800</v>
      </c>
    </row>
    <row r="54" spans="1:4" hidden="1" outlineLevel="3" x14ac:dyDescent="0.25">
      <c r="A54" s="7" t="s">
        <v>34</v>
      </c>
      <c r="B54" s="7">
        <v>9300</v>
      </c>
      <c r="C54" s="7">
        <v>3600</v>
      </c>
      <c r="D54" s="7">
        <v>5700</v>
      </c>
    </row>
    <row r="55" spans="1:4" hidden="1" outlineLevel="4" x14ac:dyDescent="0.25">
      <c r="A55" s="7" t="s">
        <v>45</v>
      </c>
      <c r="B55" s="7">
        <v>9300</v>
      </c>
      <c r="C55" s="7">
        <v>3600</v>
      </c>
      <c r="D55" s="7">
        <v>5700</v>
      </c>
    </row>
    <row r="56" spans="1:4" hidden="1" outlineLevel="3" x14ac:dyDescent="0.25">
      <c r="A56" s="7" t="s">
        <v>34</v>
      </c>
      <c r="B56" s="7">
        <v>50800</v>
      </c>
      <c r="C56" s="7">
        <v>12300</v>
      </c>
      <c r="D56" s="7">
        <v>38500</v>
      </c>
    </row>
    <row r="57" spans="1:4" hidden="1" outlineLevel="4" x14ac:dyDescent="0.25">
      <c r="A57" s="7" t="s">
        <v>46</v>
      </c>
      <c r="B57" s="7">
        <v>50800</v>
      </c>
      <c r="C57" s="7">
        <v>12300</v>
      </c>
      <c r="D57" s="7">
        <v>38500</v>
      </c>
    </row>
    <row r="58" spans="1:4" hidden="1" outlineLevel="3" x14ac:dyDescent="0.25">
      <c r="A58" s="7" t="s">
        <v>34</v>
      </c>
      <c r="B58" s="7">
        <v>48000</v>
      </c>
      <c r="C58" s="7">
        <v>17000</v>
      </c>
      <c r="D58" s="7">
        <v>31000</v>
      </c>
    </row>
    <row r="59" spans="1:4" hidden="1" outlineLevel="4" x14ac:dyDescent="0.25">
      <c r="A59" s="7" t="s">
        <v>47</v>
      </c>
      <c r="B59" s="7">
        <v>48000</v>
      </c>
      <c r="C59" s="7">
        <v>17000</v>
      </c>
      <c r="D59" s="7">
        <v>31000</v>
      </c>
    </row>
    <row r="60" spans="1:4" x14ac:dyDescent="0.25">
      <c r="A60" s="7" t="s">
        <v>41</v>
      </c>
      <c r="B60" s="7">
        <v>600000</v>
      </c>
      <c r="C60" s="7">
        <v>250000</v>
      </c>
      <c r="D60" s="7">
        <v>350000</v>
      </c>
    </row>
  </sheetData>
  <mergeCells count="3">
    <mergeCell ref="B7:B9"/>
    <mergeCell ref="C7:C9"/>
    <mergeCell ref="D7:D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C265-BB08-4406-8679-EC427C9B7274}">
  <dimension ref="A1:Q36"/>
  <sheetViews>
    <sheetView workbookViewId="0">
      <selection activeCell="J20" sqref="J20"/>
    </sheetView>
  </sheetViews>
  <sheetFormatPr defaultRowHeight="15" x14ac:dyDescent="0.25"/>
  <cols>
    <col min="1" max="1" width="13" style="46" customWidth="1"/>
    <col min="2" max="2" width="11.85546875" style="1" customWidth="1"/>
    <col min="3" max="3" width="14.140625" style="1" customWidth="1"/>
    <col min="4" max="4" width="12.28515625" style="1" customWidth="1"/>
    <col min="5" max="5" width="17.28515625" style="1" bestFit="1" customWidth="1"/>
    <col min="6" max="6" width="12" style="1" customWidth="1"/>
    <col min="7" max="7" width="11.85546875" customWidth="1"/>
    <col min="8" max="8" width="6.85546875" customWidth="1"/>
  </cols>
  <sheetData>
    <row r="1" spans="1:17" ht="22.5" x14ac:dyDescent="0.45">
      <c r="A1" s="45" t="s">
        <v>0</v>
      </c>
      <c r="B1" s="14" t="s">
        <v>1</v>
      </c>
      <c r="C1" s="14" t="s">
        <v>2</v>
      </c>
      <c r="D1" s="14" t="s">
        <v>3</v>
      </c>
      <c r="E1" s="14" t="s">
        <v>147</v>
      </c>
      <c r="F1" s="15" t="s">
        <v>5</v>
      </c>
      <c r="G1" s="14" t="s">
        <v>149</v>
      </c>
      <c r="M1" s="18" t="s">
        <v>157</v>
      </c>
    </row>
    <row r="2" spans="1:17" x14ac:dyDescent="0.25">
      <c r="A2" s="6">
        <v>45658</v>
      </c>
      <c r="B2" t="s">
        <v>6</v>
      </c>
      <c r="C2" t="s">
        <v>7</v>
      </c>
      <c r="D2" t="s">
        <v>8</v>
      </c>
      <c r="E2">
        <v>10</v>
      </c>
      <c r="F2">
        <v>50</v>
      </c>
      <c r="G2">
        <f>PRODUCT(Таблица3[[#This Row],[Кол-во]],Таблица3[[#This Row],[Цена]])</f>
        <v>500</v>
      </c>
    </row>
    <row r="3" spans="1:17" x14ac:dyDescent="0.25">
      <c r="A3" s="6">
        <v>45658</v>
      </c>
      <c r="B3" t="s">
        <v>9</v>
      </c>
      <c r="C3" t="s">
        <v>10</v>
      </c>
      <c r="D3" t="s">
        <v>11</v>
      </c>
      <c r="E3">
        <v>5</v>
      </c>
      <c r="F3">
        <v>30</v>
      </c>
      <c r="G3">
        <f>PRODUCT(Таблица3[[#This Row],[Кол-во]],Таблица3[[#This Row],[Цена]])</f>
        <v>150</v>
      </c>
      <c r="N3" s="30" t="s">
        <v>119</v>
      </c>
    </row>
    <row r="4" spans="1:17" ht="15.75" x14ac:dyDescent="0.25">
      <c r="A4" s="6">
        <v>45659</v>
      </c>
      <c r="B4" t="s">
        <v>6</v>
      </c>
      <c r="C4" t="s">
        <v>7</v>
      </c>
      <c r="D4" t="s">
        <v>8</v>
      </c>
      <c r="E4">
        <v>15</v>
      </c>
      <c r="F4">
        <v>50</v>
      </c>
      <c r="G4">
        <f>PRODUCT(Таблица3[[#This Row],[Кол-во]],Таблица3[[#This Row],[Цена]])</f>
        <v>750</v>
      </c>
      <c r="N4" s="31">
        <v>1</v>
      </c>
      <c r="O4" s="28" t="s">
        <v>116</v>
      </c>
    </row>
    <row r="5" spans="1:17" ht="15.75" x14ac:dyDescent="0.25">
      <c r="A5" s="6">
        <v>45659</v>
      </c>
      <c r="B5" t="s">
        <v>9</v>
      </c>
      <c r="C5" t="s">
        <v>10</v>
      </c>
      <c r="D5" t="s">
        <v>11</v>
      </c>
      <c r="E5">
        <v>20</v>
      </c>
      <c r="F5">
        <v>30</v>
      </c>
      <c r="G5">
        <f>PRODUCT(Таблица3[[#This Row],[Кол-во]],Таблица3[[#This Row],[Цена]])</f>
        <v>600</v>
      </c>
      <c r="N5" s="31">
        <v>2</v>
      </c>
      <c r="O5" s="28" t="s">
        <v>118</v>
      </c>
    </row>
    <row r="6" spans="1:17" ht="15.75" x14ac:dyDescent="0.25">
      <c r="A6" s="6">
        <v>45659</v>
      </c>
      <c r="B6" t="s">
        <v>6</v>
      </c>
      <c r="C6" t="s">
        <v>7</v>
      </c>
      <c r="D6" t="s">
        <v>12</v>
      </c>
      <c r="E6">
        <v>8</v>
      </c>
      <c r="F6">
        <v>80</v>
      </c>
      <c r="G6">
        <f>PRODUCT(Таблица3[[#This Row],[Кол-во]],Таблица3[[#This Row],[Цена]])</f>
        <v>640</v>
      </c>
      <c r="N6" s="31">
        <v>3</v>
      </c>
      <c r="O6" s="28" t="s">
        <v>148</v>
      </c>
    </row>
    <row r="7" spans="1:17" ht="15.75" x14ac:dyDescent="0.25">
      <c r="A7" s="6">
        <v>45659</v>
      </c>
      <c r="B7" t="s">
        <v>9</v>
      </c>
      <c r="C7" t="s">
        <v>10</v>
      </c>
      <c r="D7" t="s">
        <v>8</v>
      </c>
      <c r="E7">
        <v>12</v>
      </c>
      <c r="F7">
        <v>50</v>
      </c>
      <c r="G7">
        <f>PRODUCT(Таблица3[[#This Row],[Кол-во]],Таблица3[[#This Row],[Цена]])</f>
        <v>600</v>
      </c>
      <c r="N7" s="31">
        <v>4</v>
      </c>
      <c r="O7" s="28" t="s">
        <v>117</v>
      </c>
    </row>
    <row r="8" spans="1:17" x14ac:dyDescent="0.25">
      <c r="A8" s="6">
        <v>45660</v>
      </c>
      <c r="B8" t="s">
        <v>6</v>
      </c>
      <c r="C8" t="s">
        <v>7</v>
      </c>
      <c r="D8" t="s">
        <v>11</v>
      </c>
      <c r="E8">
        <v>7</v>
      </c>
      <c r="F8">
        <v>30</v>
      </c>
      <c r="G8">
        <f>PRODUCT(Таблица3[[#This Row],[Кол-во]],Таблица3[[#This Row],[Цена]])</f>
        <v>210</v>
      </c>
    </row>
    <row r="9" spans="1:17" x14ac:dyDescent="0.25">
      <c r="A9" s="6">
        <v>45693</v>
      </c>
      <c r="B9" t="s">
        <v>14</v>
      </c>
      <c r="C9" t="s">
        <v>13</v>
      </c>
      <c r="D9" t="s">
        <v>15</v>
      </c>
      <c r="E9">
        <v>18</v>
      </c>
      <c r="F9">
        <v>25</v>
      </c>
      <c r="G9">
        <f>PRODUCT(Таблица3[[#This Row],[Кол-во]],Таблица3[[#This Row],[Цена]])</f>
        <v>450</v>
      </c>
      <c r="N9" s="29" t="s">
        <v>153</v>
      </c>
    </row>
    <row r="10" spans="1:17" x14ac:dyDescent="0.25">
      <c r="A10" s="6">
        <v>45694</v>
      </c>
      <c r="B10" t="s">
        <v>14</v>
      </c>
      <c r="C10" t="s">
        <v>13</v>
      </c>
      <c r="D10" t="s">
        <v>16</v>
      </c>
      <c r="E10">
        <v>10</v>
      </c>
      <c r="F10">
        <v>15</v>
      </c>
      <c r="G10">
        <f>PRODUCT(Таблица3[[#This Row],[Кол-во]],Таблица3[[#This Row],[Цена]])</f>
        <v>150</v>
      </c>
      <c r="N10" t="s">
        <v>154</v>
      </c>
    </row>
    <row r="11" spans="1:17" x14ac:dyDescent="0.25">
      <c r="A11" s="6">
        <v>45690</v>
      </c>
      <c r="B11" t="s">
        <v>9</v>
      </c>
      <c r="C11" t="s">
        <v>10</v>
      </c>
      <c r="D11" t="s">
        <v>8</v>
      </c>
      <c r="E11">
        <v>7</v>
      </c>
      <c r="F11">
        <v>50</v>
      </c>
      <c r="G11">
        <f>PRODUCT(Таблица3[[#This Row],[Кол-во]],Таблица3[[#This Row],[Цена]])</f>
        <v>350</v>
      </c>
      <c r="N11" t="s">
        <v>151</v>
      </c>
    </row>
    <row r="12" spans="1:17" x14ac:dyDescent="0.25">
      <c r="A12" s="6"/>
      <c r="B12"/>
      <c r="C12"/>
      <c r="D12" s="29" t="s">
        <v>158</v>
      </c>
      <c r="E12"/>
      <c r="F12"/>
      <c r="N12" t="s">
        <v>152</v>
      </c>
    </row>
    <row r="13" spans="1:17" x14ac:dyDescent="0.25">
      <c r="A13" s="6"/>
      <c r="B13"/>
      <c r="C13"/>
      <c r="D13"/>
      <c r="E13"/>
      <c r="F13"/>
      <c r="N13" s="16" t="s">
        <v>156</v>
      </c>
      <c r="O13" s="16"/>
      <c r="P13" s="16"/>
      <c r="Q13" s="16"/>
    </row>
    <row r="14" spans="1:17" ht="15.75" x14ac:dyDescent="0.25">
      <c r="A14" s="6"/>
      <c r="B14"/>
      <c r="C14"/>
      <c r="D14"/>
      <c r="E14"/>
      <c r="F14"/>
      <c r="N14" s="28" t="s">
        <v>150</v>
      </c>
    </row>
    <row r="15" spans="1:17" x14ac:dyDescent="0.25">
      <c r="A15" s="6"/>
      <c r="B15" s="47" t="s">
        <v>159</v>
      </c>
      <c r="C15"/>
      <c r="D15"/>
      <c r="E15"/>
      <c r="F15"/>
      <c r="N15" t="s">
        <v>155</v>
      </c>
    </row>
    <row r="16" spans="1:17" x14ac:dyDescent="0.25">
      <c r="A16"/>
      <c r="B16"/>
      <c r="C16"/>
      <c r="D16"/>
      <c r="E16"/>
      <c r="F16"/>
    </row>
    <row r="17" spans="1:7" x14ac:dyDescent="0.25">
      <c r="A17" s="12" t="s">
        <v>0</v>
      </c>
      <c r="B17" s="12" t="s">
        <v>1</v>
      </c>
      <c r="C17" s="12" t="s">
        <v>2</v>
      </c>
      <c r="D17" s="12" t="s">
        <v>3</v>
      </c>
      <c r="E17" s="12" t="s">
        <v>4</v>
      </c>
      <c r="F17" s="12" t="s">
        <v>5</v>
      </c>
      <c r="G17" s="12" t="s">
        <v>149</v>
      </c>
    </row>
    <row r="18" spans="1:7" x14ac:dyDescent="0.25">
      <c r="A18" s="63">
        <v>45658</v>
      </c>
      <c r="B18" s="12" t="s">
        <v>6</v>
      </c>
      <c r="C18" s="12" t="s">
        <v>7</v>
      </c>
      <c r="D18" s="12" t="s">
        <v>8</v>
      </c>
      <c r="E18" s="12">
        <v>10</v>
      </c>
      <c r="F18" s="12">
        <v>50</v>
      </c>
      <c r="G18" s="12">
        <v>500</v>
      </c>
    </row>
    <row r="19" spans="1:7" x14ac:dyDescent="0.25">
      <c r="A19" s="63">
        <v>45658</v>
      </c>
      <c r="B19" s="12" t="s">
        <v>9</v>
      </c>
      <c r="C19" s="12" t="s">
        <v>10</v>
      </c>
      <c r="D19" s="12" t="s">
        <v>11</v>
      </c>
      <c r="E19" s="12">
        <v>5</v>
      </c>
      <c r="F19" s="12">
        <v>30</v>
      </c>
      <c r="G19" s="12">
        <v>150</v>
      </c>
    </row>
    <row r="20" spans="1:7" x14ac:dyDescent="0.25">
      <c r="A20" s="63">
        <v>45659</v>
      </c>
      <c r="B20" s="12" t="s">
        <v>6</v>
      </c>
      <c r="C20" s="12" t="s">
        <v>7</v>
      </c>
      <c r="D20" s="12" t="s">
        <v>8</v>
      </c>
      <c r="E20" s="12">
        <v>15</v>
      </c>
      <c r="F20" s="12">
        <v>50</v>
      </c>
      <c r="G20" s="12">
        <v>750</v>
      </c>
    </row>
    <row r="21" spans="1:7" x14ac:dyDescent="0.25">
      <c r="A21" s="63">
        <v>45659</v>
      </c>
      <c r="B21" s="12" t="s">
        <v>9</v>
      </c>
      <c r="C21" s="12" t="s">
        <v>10</v>
      </c>
      <c r="D21" s="12" t="s">
        <v>11</v>
      </c>
      <c r="E21" s="12">
        <v>20</v>
      </c>
      <c r="F21" s="12">
        <v>30</v>
      </c>
      <c r="G21" s="12">
        <v>600</v>
      </c>
    </row>
    <row r="22" spans="1:7" x14ac:dyDescent="0.25">
      <c r="A22" s="63">
        <v>45659</v>
      </c>
      <c r="B22" s="12" t="s">
        <v>6</v>
      </c>
      <c r="C22" s="12" t="s">
        <v>7</v>
      </c>
      <c r="D22" s="12" t="s">
        <v>12</v>
      </c>
      <c r="E22" s="12">
        <v>8</v>
      </c>
      <c r="F22" s="12">
        <v>80</v>
      </c>
      <c r="G22" s="12">
        <v>640</v>
      </c>
    </row>
    <row r="23" spans="1:7" x14ac:dyDescent="0.25">
      <c r="A23" s="63">
        <v>45659</v>
      </c>
      <c r="B23" s="12" t="s">
        <v>9</v>
      </c>
      <c r="C23" s="12" t="s">
        <v>10</v>
      </c>
      <c r="D23" s="12" t="s">
        <v>8</v>
      </c>
      <c r="E23" s="12">
        <v>12</v>
      </c>
      <c r="F23" s="12">
        <v>50</v>
      </c>
      <c r="G23" s="12">
        <v>600</v>
      </c>
    </row>
    <row r="24" spans="1:7" x14ac:dyDescent="0.25">
      <c r="A24" s="63">
        <v>45660</v>
      </c>
      <c r="B24" s="12" t="s">
        <v>6</v>
      </c>
      <c r="C24" s="12" t="s">
        <v>7</v>
      </c>
      <c r="D24" s="12" t="s">
        <v>11</v>
      </c>
      <c r="E24" s="12">
        <v>7</v>
      </c>
      <c r="F24" s="12">
        <v>30</v>
      </c>
      <c r="G24" s="12">
        <v>210</v>
      </c>
    </row>
    <row r="25" spans="1:7" x14ac:dyDescent="0.25">
      <c r="A25" s="63">
        <v>45693</v>
      </c>
      <c r="B25" s="12" t="s">
        <v>14</v>
      </c>
      <c r="C25" s="12" t="s">
        <v>13</v>
      </c>
      <c r="D25" s="12" t="s">
        <v>15</v>
      </c>
      <c r="E25" s="12">
        <v>18</v>
      </c>
      <c r="F25" s="12">
        <v>25</v>
      </c>
      <c r="G25" s="12">
        <v>450</v>
      </c>
    </row>
    <row r="26" spans="1:7" x14ac:dyDescent="0.25">
      <c r="A26" s="63">
        <v>45694</v>
      </c>
      <c r="B26" s="12" t="s">
        <v>14</v>
      </c>
      <c r="C26" s="12" t="s">
        <v>13</v>
      </c>
      <c r="D26" s="12" t="s">
        <v>16</v>
      </c>
      <c r="E26" s="12">
        <v>10</v>
      </c>
      <c r="F26" s="12">
        <v>15</v>
      </c>
      <c r="G26" s="12">
        <v>150</v>
      </c>
    </row>
    <row r="27" spans="1:7" x14ac:dyDescent="0.25">
      <c r="A27" s="63">
        <v>45659</v>
      </c>
      <c r="B27" s="12" t="s">
        <v>6</v>
      </c>
      <c r="C27" s="12" t="s">
        <v>7</v>
      </c>
      <c r="D27" s="12" t="s">
        <v>12</v>
      </c>
      <c r="E27" s="12">
        <v>8</v>
      </c>
      <c r="F27" s="12">
        <v>80</v>
      </c>
      <c r="G27" s="12">
        <v>640</v>
      </c>
    </row>
    <row r="28" spans="1:7" x14ac:dyDescent="0.25">
      <c r="A28" s="63">
        <v>45659</v>
      </c>
      <c r="B28" s="12" t="s">
        <v>6</v>
      </c>
      <c r="C28" s="12" t="s">
        <v>7</v>
      </c>
      <c r="D28" s="12" t="s">
        <v>12</v>
      </c>
      <c r="E28" s="12">
        <v>8</v>
      </c>
      <c r="F28" s="12">
        <v>80</v>
      </c>
      <c r="G28" s="12">
        <v>640</v>
      </c>
    </row>
    <row r="29" spans="1:7" x14ac:dyDescent="0.25">
      <c r="A29" s="6"/>
      <c r="B29"/>
      <c r="C29"/>
      <c r="D29"/>
      <c r="E29"/>
    </row>
    <row r="30" spans="1:7" x14ac:dyDescent="0.25">
      <c r="A30" s="6"/>
      <c r="B30"/>
      <c r="C30"/>
      <c r="D30"/>
      <c r="E30"/>
    </row>
    <row r="31" spans="1:7" x14ac:dyDescent="0.25">
      <c r="A31" s="6"/>
      <c r="B31"/>
      <c r="C31"/>
      <c r="D31"/>
      <c r="E31"/>
    </row>
    <row r="32" spans="1:7" x14ac:dyDescent="0.25">
      <c r="A32" s="6"/>
      <c r="B32"/>
      <c r="C32"/>
      <c r="D32"/>
      <c r="E32"/>
    </row>
    <row r="33" spans="1:6" x14ac:dyDescent="0.25">
      <c r="A33" s="6"/>
      <c r="B33"/>
      <c r="C33"/>
      <c r="E33"/>
      <c r="F33"/>
    </row>
    <row r="34" spans="1:6" x14ac:dyDescent="0.25">
      <c r="A34" s="6"/>
      <c r="B34"/>
      <c r="C34"/>
      <c r="E34"/>
      <c r="F34"/>
    </row>
    <row r="35" spans="1:6" x14ac:dyDescent="0.25">
      <c r="A35" s="6"/>
      <c r="B35"/>
      <c r="C35"/>
      <c r="E35"/>
      <c r="F35"/>
    </row>
    <row r="36" spans="1:6" x14ac:dyDescent="0.25">
      <c r="A36" s="6"/>
      <c r="B36"/>
      <c r="C36"/>
      <c r="E36"/>
      <c r="F36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137C-9635-471D-8050-7BD4EA2DD43C}">
  <dimension ref="A1:P60"/>
  <sheetViews>
    <sheetView topLeftCell="A19" workbookViewId="0">
      <selection activeCell="D26" sqref="D26"/>
    </sheetView>
  </sheetViews>
  <sheetFormatPr defaultRowHeight="15" x14ac:dyDescent="0.25"/>
  <cols>
    <col min="1" max="1" width="17.28515625" style="1" bestFit="1" customWidth="1"/>
    <col min="2" max="2" width="20.85546875" style="1" bestFit="1" customWidth="1"/>
    <col min="3" max="3" width="10.140625" style="1" bestFit="1" customWidth="1"/>
    <col min="4" max="4" width="17.28515625" style="1" bestFit="1" customWidth="1"/>
    <col min="5" max="6" width="10.140625" style="1" bestFit="1" customWidth="1"/>
    <col min="7" max="7" width="11.85546875" bestFit="1" customWidth="1"/>
    <col min="8" max="8" width="5" customWidth="1"/>
    <col min="10" max="10" width="17.28515625" customWidth="1"/>
    <col min="11" max="11" width="11.42578125" bestFit="1" customWidth="1"/>
    <col min="13" max="14" width="20.85546875" bestFit="1" customWidth="1"/>
    <col min="15" max="15" width="6.42578125" bestFit="1" customWidth="1"/>
    <col min="16" max="16" width="11.85546875" bestFit="1" customWidth="1"/>
    <col min="17" max="18" width="10.140625" bestFit="1" customWidth="1"/>
    <col min="19" max="19" width="11.85546875" bestFit="1" customWidth="1"/>
  </cols>
  <sheetData>
    <row r="1" spans="1:10" ht="22.5" x14ac:dyDescent="0.45">
      <c r="A1" s="56" t="s">
        <v>0</v>
      </c>
      <c r="B1" s="57" t="s">
        <v>1</v>
      </c>
      <c r="C1" s="57" t="s">
        <v>2</v>
      </c>
      <c r="D1" s="57" t="s">
        <v>3</v>
      </c>
      <c r="E1" s="57" t="s">
        <v>147</v>
      </c>
      <c r="F1" s="58" t="s">
        <v>5</v>
      </c>
      <c r="H1" s="62" t="s">
        <v>160</v>
      </c>
    </row>
    <row r="2" spans="1:10" x14ac:dyDescent="0.25">
      <c r="A2" s="54">
        <v>45658</v>
      </c>
      <c r="B2" s="52" t="s">
        <v>6</v>
      </c>
      <c r="C2" s="52" t="s">
        <v>7</v>
      </c>
      <c r="D2" s="52" t="s">
        <v>8</v>
      </c>
      <c r="E2" s="52">
        <v>10</v>
      </c>
      <c r="F2" s="55">
        <v>50</v>
      </c>
      <c r="G2" s="31"/>
      <c r="H2" s="30" t="s">
        <v>161</v>
      </c>
      <c r="I2" s="31"/>
      <c r="J2" s="31"/>
    </row>
    <row r="3" spans="1:10" x14ac:dyDescent="0.25">
      <c r="A3" s="54">
        <v>45658</v>
      </c>
      <c r="B3" s="52" t="s">
        <v>9</v>
      </c>
      <c r="C3" s="52" t="s">
        <v>10</v>
      </c>
      <c r="D3" s="52" t="s">
        <v>11</v>
      </c>
      <c r="E3" s="52">
        <v>5</v>
      </c>
      <c r="F3" s="55">
        <v>30</v>
      </c>
      <c r="H3" s="31">
        <v>1</v>
      </c>
      <c r="I3" s="32" t="s">
        <v>162</v>
      </c>
      <c r="J3" s="31"/>
    </row>
    <row r="4" spans="1:10" x14ac:dyDescent="0.25">
      <c r="A4" s="54">
        <v>45659</v>
      </c>
      <c r="B4" s="52" t="s">
        <v>6</v>
      </c>
      <c r="C4" s="52" t="s">
        <v>7</v>
      </c>
      <c r="D4" s="52" t="s">
        <v>8</v>
      </c>
      <c r="E4" s="52">
        <v>15</v>
      </c>
      <c r="F4" s="55">
        <v>50</v>
      </c>
      <c r="J4" s="16" t="s">
        <v>180</v>
      </c>
    </row>
    <row r="5" spans="1:10" x14ac:dyDescent="0.25">
      <c r="A5" s="54">
        <v>45659</v>
      </c>
      <c r="B5" s="52" t="s">
        <v>9</v>
      </c>
      <c r="C5" s="52" t="s">
        <v>10</v>
      </c>
      <c r="D5" s="52" t="s">
        <v>11</v>
      </c>
      <c r="E5" s="52">
        <v>20</v>
      </c>
      <c r="F5" s="55">
        <v>30</v>
      </c>
      <c r="H5" s="31">
        <v>2</v>
      </c>
      <c r="I5" s="32" t="s">
        <v>163</v>
      </c>
      <c r="J5" s="31"/>
    </row>
    <row r="6" spans="1:10" x14ac:dyDescent="0.25">
      <c r="A6" s="54">
        <v>45659</v>
      </c>
      <c r="B6" s="52" t="s">
        <v>6</v>
      </c>
      <c r="C6" s="52" t="s">
        <v>7</v>
      </c>
      <c r="D6" s="52" t="s">
        <v>12</v>
      </c>
      <c r="E6" s="52">
        <v>8</v>
      </c>
      <c r="F6" s="55">
        <v>80</v>
      </c>
      <c r="H6" s="31">
        <v>3</v>
      </c>
      <c r="I6" s="32" t="s">
        <v>165</v>
      </c>
      <c r="J6" s="31"/>
    </row>
    <row r="7" spans="1:10" x14ac:dyDescent="0.25">
      <c r="A7" s="54">
        <v>45659</v>
      </c>
      <c r="B7" s="52" t="s">
        <v>9</v>
      </c>
      <c r="C7" s="52" t="s">
        <v>10</v>
      </c>
      <c r="D7" s="52" t="s">
        <v>8</v>
      </c>
      <c r="E7" s="52">
        <v>12</v>
      </c>
      <c r="F7" s="55">
        <v>50</v>
      </c>
      <c r="H7" s="31"/>
      <c r="I7" s="32"/>
      <c r="J7" s="32" t="s">
        <v>167</v>
      </c>
    </row>
    <row r="8" spans="1:10" x14ac:dyDescent="0.25">
      <c r="A8" s="54">
        <v>45660</v>
      </c>
      <c r="B8" s="52" t="s">
        <v>6</v>
      </c>
      <c r="C8" s="52" t="s">
        <v>7</v>
      </c>
      <c r="D8" s="52" t="s">
        <v>11</v>
      </c>
      <c r="E8" s="52">
        <v>7</v>
      </c>
      <c r="F8" s="55">
        <v>30</v>
      </c>
      <c r="J8" s="16" t="s">
        <v>200</v>
      </c>
    </row>
    <row r="9" spans="1:10" x14ac:dyDescent="0.25">
      <c r="A9" s="54">
        <v>45693</v>
      </c>
      <c r="B9" s="52" t="s">
        <v>14</v>
      </c>
      <c r="C9" s="52" t="s">
        <v>13</v>
      </c>
      <c r="D9" s="52" t="s">
        <v>15</v>
      </c>
      <c r="E9" s="52">
        <v>18</v>
      </c>
      <c r="F9" s="55">
        <v>25</v>
      </c>
      <c r="J9" s="32" t="s">
        <v>166</v>
      </c>
    </row>
    <row r="10" spans="1:10" x14ac:dyDescent="0.25">
      <c r="A10" s="59">
        <v>45694</v>
      </c>
      <c r="B10" s="60" t="s">
        <v>14</v>
      </c>
      <c r="C10" s="60" t="s">
        <v>13</v>
      </c>
      <c r="D10" s="60" t="s">
        <v>16</v>
      </c>
      <c r="E10" s="60">
        <v>10</v>
      </c>
      <c r="F10" s="61">
        <v>15</v>
      </c>
      <c r="H10" s="31">
        <v>4</v>
      </c>
      <c r="I10" s="32" t="s">
        <v>164</v>
      </c>
    </row>
    <row r="11" spans="1:10" ht="15.75" x14ac:dyDescent="0.25">
      <c r="B11"/>
      <c r="C11"/>
      <c r="D11"/>
      <c r="E11"/>
      <c r="F11"/>
      <c r="H11" s="33" t="s">
        <v>168</v>
      </c>
    </row>
    <row r="12" spans="1:10" x14ac:dyDescent="0.25">
      <c r="H12" s="27"/>
    </row>
    <row r="13" spans="1:10" ht="15.75" x14ac:dyDescent="0.25">
      <c r="H13" s="48" t="s">
        <v>169</v>
      </c>
    </row>
    <row r="14" spans="1:10" ht="15.75" x14ac:dyDescent="0.25">
      <c r="A14"/>
      <c r="B14"/>
      <c r="C14"/>
      <c r="D14"/>
      <c r="E14"/>
      <c r="F14"/>
      <c r="H14" s="48" t="s">
        <v>170</v>
      </c>
    </row>
    <row r="15" spans="1:10" ht="15.75" x14ac:dyDescent="0.25">
      <c r="A15"/>
      <c r="B15"/>
      <c r="C15"/>
      <c r="D15"/>
      <c r="E15"/>
      <c r="F15"/>
      <c r="H15" s="48" t="s">
        <v>171</v>
      </c>
    </row>
    <row r="16" spans="1:10" ht="15.75" x14ac:dyDescent="0.25">
      <c r="A16"/>
      <c r="B16"/>
      <c r="C16"/>
      <c r="D16"/>
      <c r="E16"/>
      <c r="F16"/>
      <c r="H16" s="48" t="s">
        <v>172</v>
      </c>
    </row>
    <row r="17" spans="1:9" ht="15.75" x14ac:dyDescent="0.25">
      <c r="A17"/>
      <c r="B17"/>
      <c r="C17"/>
      <c r="D17"/>
      <c r="E17"/>
      <c r="F17"/>
      <c r="H17" s="48" t="s">
        <v>173</v>
      </c>
    </row>
    <row r="18" spans="1:9" x14ac:dyDescent="0.25">
      <c r="A18"/>
      <c r="B18"/>
      <c r="C18"/>
      <c r="D18"/>
      <c r="E18"/>
      <c r="F18"/>
    </row>
    <row r="19" spans="1:9" ht="15.75" x14ac:dyDescent="0.25">
      <c r="A19"/>
      <c r="B19"/>
      <c r="C19"/>
      <c r="D19"/>
      <c r="E19"/>
      <c r="F19"/>
      <c r="H19" s="37" t="s">
        <v>174</v>
      </c>
    </row>
    <row r="20" spans="1:9" x14ac:dyDescent="0.25">
      <c r="A20"/>
      <c r="B20"/>
      <c r="C20"/>
      <c r="D20"/>
      <c r="E20"/>
      <c r="F20"/>
    </row>
    <row r="21" spans="1:9" x14ac:dyDescent="0.25">
      <c r="A21"/>
      <c r="B21"/>
      <c r="C21"/>
      <c r="D21"/>
      <c r="E21"/>
      <c r="F21"/>
    </row>
    <row r="22" spans="1:9" ht="15.75" x14ac:dyDescent="0.25">
      <c r="A22"/>
      <c r="B22"/>
      <c r="C22"/>
      <c r="D22"/>
      <c r="E22"/>
      <c r="F22"/>
      <c r="H22">
        <v>1</v>
      </c>
      <c r="I22" s="35" t="s">
        <v>176</v>
      </c>
    </row>
    <row r="23" spans="1:9" ht="15.75" x14ac:dyDescent="0.25">
      <c r="A23"/>
      <c r="B23"/>
      <c r="C23"/>
      <c r="D23"/>
      <c r="E23"/>
      <c r="F23"/>
      <c r="H23">
        <v>2</v>
      </c>
      <c r="I23" s="35" t="s">
        <v>175</v>
      </c>
    </row>
    <row r="24" spans="1:9" ht="15.75" x14ac:dyDescent="0.25">
      <c r="A24"/>
      <c r="B24"/>
      <c r="C24"/>
      <c r="D24"/>
      <c r="E24"/>
      <c r="F24"/>
      <c r="H24">
        <v>3</v>
      </c>
      <c r="I24" s="35" t="s">
        <v>178</v>
      </c>
    </row>
    <row r="25" spans="1:9" ht="15.75" x14ac:dyDescent="0.25">
      <c r="A25"/>
      <c r="B25"/>
      <c r="C25"/>
      <c r="D25"/>
      <c r="E25"/>
      <c r="F25"/>
      <c r="I25" s="35" t="s">
        <v>177</v>
      </c>
    </row>
    <row r="26" spans="1:9" x14ac:dyDescent="0.25">
      <c r="A26"/>
      <c r="B26"/>
      <c r="C26"/>
      <c r="D26"/>
      <c r="E26"/>
      <c r="F26"/>
    </row>
    <row r="27" spans="1:9" ht="15.75" x14ac:dyDescent="0.25">
      <c r="A27"/>
      <c r="B27"/>
      <c r="C27"/>
      <c r="D27"/>
      <c r="E27"/>
      <c r="F27"/>
      <c r="I27" s="35" t="s">
        <v>181</v>
      </c>
    </row>
    <row r="28" spans="1:9" x14ac:dyDescent="0.25">
      <c r="A28"/>
      <c r="B28"/>
      <c r="C28"/>
      <c r="D28"/>
      <c r="E28"/>
      <c r="F28"/>
    </row>
    <row r="29" spans="1:9" x14ac:dyDescent="0.25">
      <c r="A29"/>
      <c r="B29"/>
      <c r="C29"/>
      <c r="D29"/>
      <c r="E29"/>
      <c r="F29"/>
      <c r="H29" s="29" t="s">
        <v>182</v>
      </c>
    </row>
    <row r="30" spans="1:9" x14ac:dyDescent="0.25">
      <c r="A30"/>
      <c r="B30"/>
      <c r="C30"/>
      <c r="D30"/>
      <c r="E30"/>
      <c r="F30"/>
    </row>
    <row r="31" spans="1:9" x14ac:dyDescent="0.25">
      <c r="C31"/>
    </row>
    <row r="32" spans="1:9" x14ac:dyDescent="0.25">
      <c r="C32"/>
    </row>
    <row r="33" spans="1:16" x14ac:dyDescent="0.25">
      <c r="C33"/>
    </row>
    <row r="34" spans="1:16" ht="21" x14ac:dyDescent="0.25">
      <c r="C34"/>
      <c r="D34" s="49" t="s">
        <v>183</v>
      </c>
    </row>
    <row r="35" spans="1:16" x14ac:dyDescent="0.25">
      <c r="C35"/>
    </row>
    <row r="36" spans="1:16" x14ac:dyDescent="0.25">
      <c r="C36"/>
    </row>
    <row r="37" spans="1:16" x14ac:dyDescent="0.25">
      <c r="A37" s="2" t="s">
        <v>17</v>
      </c>
      <c r="B37" t="s">
        <v>227</v>
      </c>
      <c r="C37"/>
      <c r="D37" s="2" t="s">
        <v>17</v>
      </c>
      <c r="E37"/>
    </row>
    <row r="38" spans="1:16" x14ac:dyDescent="0.25">
      <c r="A38" s="3" t="s">
        <v>7</v>
      </c>
      <c r="B38" s="68">
        <v>210</v>
      </c>
      <c r="C38"/>
      <c r="D38" s="3" t="s">
        <v>8</v>
      </c>
      <c r="E38"/>
      <c r="J38" s="2" t="s">
        <v>17</v>
      </c>
      <c r="K38" t="s">
        <v>179</v>
      </c>
      <c r="M38" s="2" t="s">
        <v>227</v>
      </c>
      <c r="N38" s="2" t="s">
        <v>228</v>
      </c>
    </row>
    <row r="39" spans="1:16" x14ac:dyDescent="0.25">
      <c r="A39" s="4" t="s">
        <v>8</v>
      </c>
      <c r="B39" s="68">
        <v>100</v>
      </c>
      <c r="C39"/>
      <c r="D39" s="4" t="s">
        <v>7</v>
      </c>
      <c r="E39"/>
      <c r="J39" s="3" t="s">
        <v>9</v>
      </c>
      <c r="K39" s="68">
        <v>110</v>
      </c>
      <c r="N39" t="s">
        <v>19</v>
      </c>
      <c r="O39" t="s">
        <v>20</v>
      </c>
      <c r="P39" t="s">
        <v>18</v>
      </c>
    </row>
    <row r="40" spans="1:16" x14ac:dyDescent="0.25">
      <c r="A40" s="4" t="s">
        <v>11</v>
      </c>
      <c r="B40" s="68">
        <v>30</v>
      </c>
      <c r="C40"/>
      <c r="D40" s="4" t="s">
        <v>10</v>
      </c>
      <c r="E40"/>
      <c r="J40" s="4" t="s">
        <v>19</v>
      </c>
      <c r="K40" s="68">
        <v>110</v>
      </c>
    </row>
    <row r="41" spans="1:16" x14ac:dyDescent="0.25">
      <c r="A41" s="4" t="s">
        <v>12</v>
      </c>
      <c r="B41" s="68">
        <v>80</v>
      </c>
      <c r="C41"/>
      <c r="D41" s="3" t="s">
        <v>16</v>
      </c>
      <c r="E41"/>
      <c r="J41" s="5" t="s">
        <v>21</v>
      </c>
      <c r="K41" s="68">
        <v>30</v>
      </c>
      <c r="M41" s="2" t="s">
        <v>17</v>
      </c>
    </row>
    <row r="42" spans="1:16" x14ac:dyDescent="0.25">
      <c r="A42" s="3" t="s">
        <v>10</v>
      </c>
      <c r="B42" s="68">
        <v>110</v>
      </c>
      <c r="C42"/>
      <c r="D42" s="3" t="s">
        <v>15</v>
      </c>
      <c r="E42"/>
      <c r="J42" s="5" t="s">
        <v>22</v>
      </c>
      <c r="K42" s="68">
        <v>80</v>
      </c>
      <c r="M42" s="3" t="s">
        <v>9</v>
      </c>
      <c r="N42" s="68">
        <v>110</v>
      </c>
      <c r="O42" s="68"/>
      <c r="P42" s="68">
        <v>110</v>
      </c>
    </row>
    <row r="43" spans="1:16" x14ac:dyDescent="0.25">
      <c r="A43" s="4" t="s">
        <v>8</v>
      </c>
      <c r="B43" s="68">
        <v>50</v>
      </c>
      <c r="C43"/>
      <c r="D43" s="3" t="s">
        <v>11</v>
      </c>
      <c r="E43"/>
      <c r="J43" s="3" t="s">
        <v>6</v>
      </c>
      <c r="K43" s="68">
        <v>210</v>
      </c>
      <c r="M43" s="4" t="s">
        <v>10</v>
      </c>
      <c r="N43" s="68">
        <v>110</v>
      </c>
      <c r="O43" s="68"/>
      <c r="P43" s="68">
        <v>110</v>
      </c>
    </row>
    <row r="44" spans="1:16" x14ac:dyDescent="0.25">
      <c r="A44" s="4" t="s">
        <v>11</v>
      </c>
      <c r="B44" s="68">
        <v>60</v>
      </c>
      <c r="C44"/>
      <c r="D44" s="3" t="s">
        <v>12</v>
      </c>
      <c r="E44"/>
      <c r="J44" s="4" t="s">
        <v>19</v>
      </c>
      <c r="K44" s="68">
        <v>210</v>
      </c>
      <c r="M44" s="3" t="s">
        <v>6</v>
      </c>
      <c r="N44" s="68">
        <v>210</v>
      </c>
      <c r="O44" s="68"/>
      <c r="P44" s="68">
        <v>210</v>
      </c>
    </row>
    <row r="45" spans="1:16" x14ac:dyDescent="0.25">
      <c r="A45" s="3" t="s">
        <v>13</v>
      </c>
      <c r="B45" s="68">
        <v>40</v>
      </c>
      <c r="C45"/>
      <c r="D45" s="4" t="s">
        <v>7</v>
      </c>
      <c r="E45"/>
      <c r="J45" s="5" t="s">
        <v>21</v>
      </c>
      <c r="K45" s="68">
        <v>50</v>
      </c>
      <c r="M45" s="4" t="s">
        <v>7</v>
      </c>
      <c r="N45" s="68">
        <v>210</v>
      </c>
      <c r="O45" s="68"/>
      <c r="P45" s="68">
        <v>210</v>
      </c>
    </row>
    <row r="46" spans="1:16" x14ac:dyDescent="0.25">
      <c r="A46" s="4" t="s">
        <v>16</v>
      </c>
      <c r="B46" s="68">
        <v>15</v>
      </c>
      <c r="C46"/>
      <c r="D46" s="3" t="s">
        <v>18</v>
      </c>
      <c r="E46"/>
      <c r="J46" s="5" t="s">
        <v>22</v>
      </c>
      <c r="K46" s="68">
        <v>130</v>
      </c>
      <c r="M46" s="3" t="s">
        <v>14</v>
      </c>
      <c r="N46" s="68"/>
      <c r="O46" s="68">
        <v>40</v>
      </c>
      <c r="P46" s="68">
        <v>40</v>
      </c>
    </row>
    <row r="47" spans="1:16" x14ac:dyDescent="0.25">
      <c r="A47" s="4" t="s">
        <v>15</v>
      </c>
      <c r="B47" s="68">
        <v>25</v>
      </c>
      <c r="C47"/>
      <c r="D47"/>
      <c r="E47"/>
      <c r="J47" s="5" t="s">
        <v>23</v>
      </c>
      <c r="K47" s="68">
        <v>30</v>
      </c>
      <c r="M47" s="4" t="s">
        <v>13</v>
      </c>
      <c r="N47" s="68"/>
      <c r="O47" s="68">
        <v>40</v>
      </c>
      <c r="P47" s="68">
        <v>40</v>
      </c>
    </row>
    <row r="48" spans="1:16" x14ac:dyDescent="0.25">
      <c r="A48" s="3" t="s">
        <v>18</v>
      </c>
      <c r="B48" s="68">
        <v>360</v>
      </c>
      <c r="C48"/>
      <c r="D48"/>
      <c r="E48"/>
      <c r="J48" s="3" t="s">
        <v>14</v>
      </c>
      <c r="K48" s="68">
        <v>40</v>
      </c>
      <c r="M48" s="3" t="s">
        <v>18</v>
      </c>
      <c r="N48" s="68">
        <v>320</v>
      </c>
      <c r="O48" s="68">
        <v>40</v>
      </c>
      <c r="P48" s="68">
        <v>360</v>
      </c>
    </row>
    <row r="49" spans="1:11" x14ac:dyDescent="0.25">
      <c r="A49"/>
      <c r="B49"/>
      <c r="C49"/>
      <c r="D49"/>
      <c r="E49"/>
      <c r="J49" s="4" t="s">
        <v>20</v>
      </c>
      <c r="K49" s="68">
        <v>40</v>
      </c>
    </row>
    <row r="50" spans="1:11" x14ac:dyDescent="0.25">
      <c r="A50"/>
      <c r="B50"/>
      <c r="C50"/>
      <c r="D50"/>
      <c r="E50"/>
      <c r="J50" s="3" t="s">
        <v>18</v>
      </c>
      <c r="K50" s="68">
        <v>360</v>
      </c>
    </row>
    <row r="51" spans="1:11" x14ac:dyDescent="0.25">
      <c r="A51"/>
      <c r="B51"/>
      <c r="C51"/>
    </row>
    <row r="52" spans="1:11" x14ac:dyDescent="0.25">
      <c r="A52"/>
      <c r="B52"/>
      <c r="C52"/>
    </row>
    <row r="53" spans="1:11" x14ac:dyDescent="0.25">
      <c r="A53"/>
      <c r="B53"/>
      <c r="C53"/>
    </row>
    <row r="54" spans="1:11" x14ac:dyDescent="0.25">
      <c r="A54"/>
      <c r="B54"/>
      <c r="C54"/>
    </row>
    <row r="55" spans="1:11" x14ac:dyDescent="0.25">
      <c r="A55"/>
    </row>
    <row r="56" spans="1:11" x14ac:dyDescent="0.25">
      <c r="A56"/>
    </row>
    <row r="57" spans="1:11" x14ac:dyDescent="0.25">
      <c r="A57"/>
    </row>
    <row r="58" spans="1:11" x14ac:dyDescent="0.25">
      <c r="A58"/>
    </row>
    <row r="59" spans="1:11" x14ac:dyDescent="0.25">
      <c r="A59"/>
    </row>
    <row r="60" spans="1:11" x14ac:dyDescent="0.25">
      <c r="A60"/>
    </row>
  </sheetData>
  <pageMargins left="0.7" right="0.7" top="0.75" bottom="0.75" header="0.3" footer="0.3"/>
  <drawing r:id="rId5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ACD7-3B2E-41E6-B954-2498B1AADA2C}">
  <dimension ref="A1:H33"/>
  <sheetViews>
    <sheetView workbookViewId="0">
      <selection activeCell="M10" sqref="M10"/>
    </sheetView>
  </sheetViews>
  <sheetFormatPr defaultRowHeight="15" x14ac:dyDescent="0.25"/>
  <cols>
    <col min="1" max="1" width="14" customWidth="1"/>
    <col min="2" max="2" width="10.7109375" customWidth="1"/>
    <col min="3" max="3" width="10.5703125" customWidth="1"/>
    <col min="4" max="4" width="11" customWidth="1"/>
    <col min="7" max="7" width="7.42578125" customWidth="1"/>
    <col min="8" max="8" width="26.140625" bestFit="1" customWidth="1"/>
    <col min="9" max="9" width="11.7109375" customWidth="1"/>
    <col min="10" max="11" width="17.28515625" bestFit="1" customWidth="1"/>
    <col min="12" max="12" width="9.42578125" bestFit="1" customWidth="1"/>
    <col min="13" max="13" width="11.7109375" bestFit="1" customWidth="1"/>
    <col min="14" max="14" width="16.28515625" bestFit="1" customWidth="1"/>
  </cols>
  <sheetData>
    <row r="1" spans="1:8" ht="22.5" x14ac:dyDescent="0.45">
      <c r="A1" t="s">
        <v>191</v>
      </c>
      <c r="B1" t="s">
        <v>192</v>
      </c>
      <c r="C1" t="s">
        <v>193</v>
      </c>
      <c r="D1" t="s">
        <v>194</v>
      </c>
      <c r="H1" s="62" t="s">
        <v>198</v>
      </c>
    </row>
    <row r="2" spans="1:8" x14ac:dyDescent="0.25">
      <c r="A2" t="s">
        <v>195</v>
      </c>
      <c r="B2">
        <v>1001</v>
      </c>
      <c r="C2">
        <v>136</v>
      </c>
      <c r="D2">
        <v>167</v>
      </c>
    </row>
    <row r="3" spans="1:8" x14ac:dyDescent="0.25">
      <c r="A3" t="s">
        <v>195</v>
      </c>
      <c r="B3">
        <v>1002</v>
      </c>
      <c r="C3">
        <v>188</v>
      </c>
      <c r="D3">
        <v>221</v>
      </c>
      <c r="F3" s="30" t="s">
        <v>202</v>
      </c>
      <c r="G3" s="31"/>
    </row>
    <row r="4" spans="1:8" x14ac:dyDescent="0.25">
      <c r="A4" t="s">
        <v>195</v>
      </c>
      <c r="B4">
        <v>1003</v>
      </c>
      <c r="C4">
        <v>116</v>
      </c>
      <c r="D4">
        <v>145</v>
      </c>
      <c r="F4" s="31"/>
      <c r="G4" s="31" t="s">
        <v>201</v>
      </c>
    </row>
    <row r="5" spans="1:8" x14ac:dyDescent="0.25">
      <c r="A5" t="s">
        <v>195</v>
      </c>
      <c r="B5">
        <v>1004</v>
      </c>
      <c r="C5">
        <v>186</v>
      </c>
      <c r="D5">
        <v>222</v>
      </c>
      <c r="F5" s="30" t="s">
        <v>206</v>
      </c>
      <c r="G5" s="31"/>
    </row>
    <row r="6" spans="1:8" x14ac:dyDescent="0.25">
      <c r="A6" t="s">
        <v>195</v>
      </c>
      <c r="B6">
        <v>1005</v>
      </c>
      <c r="C6">
        <v>131</v>
      </c>
      <c r="D6">
        <v>163</v>
      </c>
      <c r="F6" s="31">
        <v>1</v>
      </c>
      <c r="G6" s="32" t="s">
        <v>199</v>
      </c>
    </row>
    <row r="7" spans="1:8" x14ac:dyDescent="0.25">
      <c r="A7" t="s">
        <v>195</v>
      </c>
      <c r="B7">
        <v>1006</v>
      </c>
      <c r="C7">
        <v>117</v>
      </c>
      <c r="D7">
        <v>144</v>
      </c>
      <c r="F7" s="31">
        <v>2</v>
      </c>
      <c r="G7" s="32" t="s">
        <v>203</v>
      </c>
    </row>
    <row r="8" spans="1:8" x14ac:dyDescent="0.25">
      <c r="A8" t="s">
        <v>195</v>
      </c>
      <c r="B8">
        <v>1007</v>
      </c>
      <c r="C8">
        <v>164</v>
      </c>
      <c r="D8">
        <v>197</v>
      </c>
      <c r="F8" s="31">
        <v>3</v>
      </c>
      <c r="G8" s="32" t="s">
        <v>204</v>
      </c>
    </row>
    <row r="9" spans="1:8" x14ac:dyDescent="0.25">
      <c r="A9" t="s">
        <v>196</v>
      </c>
      <c r="B9">
        <v>1001</v>
      </c>
      <c r="C9">
        <v>139</v>
      </c>
      <c r="D9">
        <v>198</v>
      </c>
      <c r="F9" s="30" t="s">
        <v>205</v>
      </c>
      <c r="G9" s="31"/>
    </row>
    <row r="10" spans="1:8" x14ac:dyDescent="0.25">
      <c r="A10" t="s">
        <v>196</v>
      </c>
      <c r="B10">
        <v>1002</v>
      </c>
      <c r="C10">
        <v>187</v>
      </c>
      <c r="D10">
        <v>262</v>
      </c>
      <c r="F10" s="31">
        <v>1</v>
      </c>
      <c r="G10" s="32" t="s">
        <v>208</v>
      </c>
      <c r="H10" s="31"/>
    </row>
    <row r="11" spans="1:8" x14ac:dyDescent="0.25">
      <c r="A11" t="s">
        <v>196</v>
      </c>
      <c r="B11">
        <v>1003</v>
      </c>
      <c r="C11">
        <v>124</v>
      </c>
      <c r="D11">
        <v>174</v>
      </c>
      <c r="F11" s="31">
        <v>2</v>
      </c>
      <c r="G11" s="32" t="s">
        <v>209</v>
      </c>
      <c r="H11" s="31"/>
    </row>
    <row r="12" spans="1:8" x14ac:dyDescent="0.25">
      <c r="A12" t="s">
        <v>196</v>
      </c>
      <c r="B12">
        <v>1004</v>
      </c>
      <c r="C12">
        <v>182</v>
      </c>
      <c r="D12">
        <v>253</v>
      </c>
      <c r="F12" s="31">
        <v>3</v>
      </c>
      <c r="G12" s="32"/>
      <c r="H12" s="31" t="s">
        <v>210</v>
      </c>
    </row>
    <row r="13" spans="1:8" x14ac:dyDescent="0.25">
      <c r="A13" t="s">
        <v>196</v>
      </c>
      <c r="B13">
        <v>1005</v>
      </c>
      <c r="C13">
        <v>136</v>
      </c>
      <c r="D13">
        <v>188</v>
      </c>
      <c r="G13" s="32"/>
      <c r="H13" s="31" t="s">
        <v>212</v>
      </c>
    </row>
    <row r="14" spans="1:8" x14ac:dyDescent="0.25">
      <c r="A14" t="s">
        <v>196</v>
      </c>
      <c r="B14">
        <v>1006</v>
      </c>
      <c r="C14">
        <v>121</v>
      </c>
      <c r="D14">
        <v>170</v>
      </c>
      <c r="G14" s="32"/>
      <c r="H14" s="31" t="s">
        <v>211</v>
      </c>
    </row>
    <row r="15" spans="1:8" x14ac:dyDescent="0.25">
      <c r="A15" t="s">
        <v>196</v>
      </c>
      <c r="B15">
        <v>1007</v>
      </c>
      <c r="C15">
        <v>163</v>
      </c>
      <c r="D15">
        <v>226</v>
      </c>
      <c r="F15" s="31">
        <v>4</v>
      </c>
      <c r="G15" s="32" t="s">
        <v>207</v>
      </c>
      <c r="H15" s="31"/>
    </row>
    <row r="16" spans="1:8" x14ac:dyDescent="0.25">
      <c r="A16" t="s">
        <v>196</v>
      </c>
      <c r="B16">
        <v>1008</v>
      </c>
      <c r="C16">
        <v>124</v>
      </c>
      <c r="D16">
        <v>172</v>
      </c>
      <c r="F16" s="31">
        <v>5</v>
      </c>
      <c r="G16" s="32" t="s">
        <v>214</v>
      </c>
    </row>
    <row r="17" spans="1:7" x14ac:dyDescent="0.25">
      <c r="A17" t="s">
        <v>196</v>
      </c>
      <c r="B17">
        <v>1009</v>
      </c>
      <c r="C17">
        <v>180</v>
      </c>
      <c r="D17">
        <v>251</v>
      </c>
      <c r="F17" s="31">
        <v>6</v>
      </c>
      <c r="G17" s="31" t="s">
        <v>213</v>
      </c>
    </row>
    <row r="18" spans="1:7" x14ac:dyDescent="0.25">
      <c r="A18" t="s">
        <v>197</v>
      </c>
      <c r="B18">
        <v>1001</v>
      </c>
      <c r="C18">
        <v>140</v>
      </c>
      <c r="D18">
        <v>189</v>
      </c>
    </row>
    <row r="19" spans="1:7" x14ac:dyDescent="0.25">
      <c r="A19" t="s">
        <v>197</v>
      </c>
      <c r="B19">
        <v>1002</v>
      </c>
      <c r="C19">
        <v>184</v>
      </c>
      <c r="D19">
        <v>244</v>
      </c>
    </row>
    <row r="20" spans="1:7" x14ac:dyDescent="0.25">
      <c r="A20" t="s">
        <v>197</v>
      </c>
      <c r="B20">
        <v>1003</v>
      </c>
      <c r="C20">
        <v>125</v>
      </c>
      <c r="D20">
        <v>168</v>
      </c>
    </row>
    <row r="21" spans="1:7" x14ac:dyDescent="0.25">
      <c r="A21" t="s">
        <v>197</v>
      </c>
      <c r="B21">
        <v>1004</v>
      </c>
      <c r="C21">
        <v>181</v>
      </c>
      <c r="D21">
        <v>235</v>
      </c>
      <c r="F21" s="29" t="s">
        <v>215</v>
      </c>
    </row>
    <row r="22" spans="1:7" x14ac:dyDescent="0.25">
      <c r="A22" t="s">
        <v>197</v>
      </c>
      <c r="B22">
        <v>1005</v>
      </c>
      <c r="C22">
        <v>132</v>
      </c>
      <c r="D22">
        <v>174</v>
      </c>
      <c r="F22">
        <v>1</v>
      </c>
      <c r="G22" s="16" t="s">
        <v>216</v>
      </c>
    </row>
    <row r="23" spans="1:7" x14ac:dyDescent="0.25">
      <c r="A23" t="s">
        <v>197</v>
      </c>
      <c r="B23">
        <v>1006</v>
      </c>
      <c r="C23">
        <v>117</v>
      </c>
      <c r="D23">
        <v>158</v>
      </c>
      <c r="F23">
        <v>2</v>
      </c>
      <c r="G23" s="16" t="s">
        <v>217</v>
      </c>
    </row>
    <row r="24" spans="1:7" x14ac:dyDescent="0.25">
      <c r="A24" t="s">
        <v>197</v>
      </c>
      <c r="B24">
        <v>1007</v>
      </c>
      <c r="C24">
        <v>164</v>
      </c>
      <c r="D24">
        <v>218</v>
      </c>
      <c r="F24">
        <v>3</v>
      </c>
      <c r="G24" s="16" t="s">
        <v>218</v>
      </c>
    </row>
    <row r="25" spans="1:7" x14ac:dyDescent="0.25">
      <c r="A25" t="s">
        <v>197</v>
      </c>
      <c r="B25">
        <v>1008</v>
      </c>
      <c r="C25">
        <v>129</v>
      </c>
      <c r="D25">
        <v>174</v>
      </c>
    </row>
    <row r="27" spans="1:7" x14ac:dyDescent="0.25">
      <c r="F27" s="29" t="s">
        <v>219</v>
      </c>
    </row>
    <row r="28" spans="1:7" x14ac:dyDescent="0.25">
      <c r="F28" t="s">
        <v>221</v>
      </c>
    </row>
    <row r="29" spans="1:7" x14ac:dyDescent="0.25">
      <c r="F29" s="16" t="s">
        <v>220</v>
      </c>
    </row>
    <row r="30" spans="1:7" x14ac:dyDescent="0.25">
      <c r="F30" t="s">
        <v>222</v>
      </c>
    </row>
    <row r="31" spans="1:7" x14ac:dyDescent="0.25">
      <c r="F31">
        <v>1</v>
      </c>
      <c r="G31" s="16" t="s">
        <v>223</v>
      </c>
    </row>
    <row r="32" spans="1:7" x14ac:dyDescent="0.25">
      <c r="F32">
        <v>2</v>
      </c>
      <c r="G32" s="16" t="s">
        <v>224</v>
      </c>
    </row>
    <row r="33" spans="6:7" x14ac:dyDescent="0.25">
      <c r="F33">
        <v>3</v>
      </c>
      <c r="G33" s="16" t="s">
        <v>225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9BCE-7855-4593-B2BF-DC06D4280EC0}">
  <dimension ref="C2:R30"/>
  <sheetViews>
    <sheetView workbookViewId="0">
      <selection activeCell="Q26" sqref="Q26"/>
    </sheetView>
  </sheetViews>
  <sheetFormatPr defaultRowHeight="15" x14ac:dyDescent="0.25"/>
  <cols>
    <col min="1" max="5" width="11.5703125" customWidth="1"/>
    <col min="6" max="6" width="8.28515625" customWidth="1"/>
    <col min="7" max="14" width="3.140625" customWidth="1"/>
  </cols>
  <sheetData>
    <row r="2" spans="3:18" x14ac:dyDescent="0.25">
      <c r="C2" s="6"/>
    </row>
    <row r="3" spans="3:18" ht="24.75" x14ac:dyDescent="0.5">
      <c r="C3" s="6"/>
      <c r="Q3" s="17" t="s">
        <v>51</v>
      </c>
    </row>
    <row r="4" spans="3:18" x14ac:dyDescent="0.25">
      <c r="C4" s="6"/>
    </row>
    <row r="5" spans="3:18" ht="15.75" x14ac:dyDescent="0.25">
      <c r="C5" s="6"/>
      <c r="O5">
        <v>1</v>
      </c>
      <c r="P5" s="32" t="s">
        <v>55</v>
      </c>
      <c r="Q5" s="28" t="s">
        <v>53</v>
      </c>
      <c r="R5" s="32"/>
    </row>
    <row r="6" spans="3:18" x14ac:dyDescent="0.25">
      <c r="C6" s="6"/>
      <c r="P6" s="32"/>
      <c r="Q6" s="32"/>
      <c r="R6" s="32"/>
    </row>
    <row r="7" spans="3:18" ht="15.75" x14ac:dyDescent="0.25">
      <c r="C7" s="6"/>
      <c r="O7">
        <v>2</v>
      </c>
      <c r="P7" s="32" t="s">
        <v>54</v>
      </c>
      <c r="Q7" s="28" t="s">
        <v>99</v>
      </c>
      <c r="R7" s="32"/>
    </row>
    <row r="8" spans="3:18" x14ac:dyDescent="0.25">
      <c r="C8" s="6"/>
      <c r="P8" s="32"/>
      <c r="Q8" s="32"/>
      <c r="R8" s="32" t="s">
        <v>100</v>
      </c>
    </row>
    <row r="9" spans="3:18" x14ac:dyDescent="0.25">
      <c r="C9" s="6"/>
    </row>
    <row r="10" spans="3:18" ht="15.75" x14ac:dyDescent="0.25">
      <c r="C10" s="6"/>
      <c r="O10">
        <v>3</v>
      </c>
      <c r="P10" s="32" t="s">
        <v>57</v>
      </c>
      <c r="Q10" s="28" t="s">
        <v>56</v>
      </c>
      <c r="R10" s="32"/>
    </row>
    <row r="11" spans="3:18" x14ac:dyDescent="0.25">
      <c r="C11" s="6"/>
      <c r="P11" s="32"/>
      <c r="Q11" s="32"/>
      <c r="R11" s="32"/>
    </row>
    <row r="12" spans="3:18" ht="15.75" x14ac:dyDescent="0.25">
      <c r="C12" s="6"/>
      <c r="O12">
        <v>4</v>
      </c>
      <c r="P12" s="32" t="s">
        <v>55</v>
      </c>
      <c r="Q12" s="28" t="s">
        <v>58</v>
      </c>
      <c r="R12" s="32"/>
    </row>
    <row r="13" spans="3:18" x14ac:dyDescent="0.25">
      <c r="C13" s="6"/>
    </row>
    <row r="14" spans="3:18" x14ac:dyDescent="0.25">
      <c r="C14" s="6"/>
    </row>
    <row r="15" spans="3:18" x14ac:dyDescent="0.25">
      <c r="C15" s="6"/>
    </row>
    <row r="16" spans="3:18" x14ac:dyDescent="0.25">
      <c r="C16" s="6"/>
    </row>
    <row r="17" spans="3:16" x14ac:dyDescent="0.25">
      <c r="C17" s="6"/>
      <c r="P17" s="69"/>
    </row>
    <row r="18" spans="3:16" x14ac:dyDescent="0.25">
      <c r="C18" s="6"/>
    </row>
    <row r="19" spans="3:16" x14ac:dyDescent="0.25">
      <c r="C19" s="6"/>
    </row>
    <row r="20" spans="3:16" x14ac:dyDescent="0.25">
      <c r="C20" s="6"/>
    </row>
    <row r="21" spans="3:16" x14ac:dyDescent="0.25">
      <c r="C21" s="6"/>
    </row>
    <row r="22" spans="3:16" x14ac:dyDescent="0.25">
      <c r="C22" s="6"/>
      <c r="P22" t="s">
        <v>232</v>
      </c>
    </row>
    <row r="23" spans="3:16" x14ac:dyDescent="0.25">
      <c r="C23" s="6"/>
      <c r="P23" s="69" t="s">
        <v>230</v>
      </c>
    </row>
    <row r="24" spans="3:16" x14ac:dyDescent="0.25">
      <c r="C24" s="6"/>
    </row>
    <row r="25" spans="3:16" x14ac:dyDescent="0.25">
      <c r="C25" s="6"/>
    </row>
    <row r="26" spans="3:16" x14ac:dyDescent="0.25">
      <c r="C26" s="6"/>
    </row>
    <row r="27" spans="3:16" x14ac:dyDescent="0.25">
      <c r="C27" s="6"/>
    </row>
    <row r="28" spans="3:16" x14ac:dyDescent="0.25">
      <c r="C28" s="6"/>
    </row>
    <row r="29" spans="3:16" x14ac:dyDescent="0.25">
      <c r="C29" s="6"/>
    </row>
    <row r="30" spans="3:16" x14ac:dyDescent="0.25">
      <c r="C30" s="6"/>
    </row>
  </sheetData>
  <phoneticPr fontId="4" type="noConversion"/>
  <hyperlinks>
    <hyperlink ref="P23" r:id="rId1" xr:uid="{48CA9A3D-EB92-41FD-ACA1-ACAEF84E5F8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B5B9-54B2-4EEE-900F-E4691D936D53}">
  <dimension ref="A1:D33"/>
  <sheetViews>
    <sheetView workbookViewId="0">
      <selection sqref="A1:D33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0.7109375" bestFit="1" customWidth="1"/>
    <col min="4" max="4" width="11.140625" bestFit="1" customWidth="1"/>
  </cols>
  <sheetData>
    <row r="1" spans="1:4" x14ac:dyDescent="0.25">
      <c r="A1" s="68" t="s">
        <v>191</v>
      </c>
      <c r="B1" s="68" t="s">
        <v>192</v>
      </c>
      <c r="C1" s="68" t="s">
        <v>193</v>
      </c>
      <c r="D1" s="68" t="s">
        <v>194</v>
      </c>
    </row>
    <row r="2" spans="1:4" x14ac:dyDescent="0.25">
      <c r="A2" s="68" t="s">
        <v>195</v>
      </c>
      <c r="B2" s="68">
        <v>1001</v>
      </c>
      <c r="C2" s="68">
        <v>136</v>
      </c>
      <c r="D2" s="68">
        <v>167</v>
      </c>
    </row>
    <row r="3" spans="1:4" x14ac:dyDescent="0.25">
      <c r="A3" s="68" t="s">
        <v>195</v>
      </c>
      <c r="B3" s="68">
        <v>1002</v>
      </c>
      <c r="C3" s="68">
        <v>188</v>
      </c>
      <c r="D3" s="68">
        <v>221</v>
      </c>
    </row>
    <row r="4" spans="1:4" x14ac:dyDescent="0.25">
      <c r="A4" s="68" t="s">
        <v>195</v>
      </c>
      <c r="B4" s="68">
        <v>1003</v>
      </c>
      <c r="C4" s="68">
        <v>116</v>
      </c>
      <c r="D4" s="68">
        <v>145</v>
      </c>
    </row>
    <row r="5" spans="1:4" x14ac:dyDescent="0.25">
      <c r="A5" s="68" t="s">
        <v>195</v>
      </c>
      <c r="B5" s="68">
        <v>1004</v>
      </c>
      <c r="C5" s="68">
        <v>186</v>
      </c>
      <c r="D5" s="68">
        <v>222</v>
      </c>
    </row>
    <row r="6" spans="1:4" x14ac:dyDescent="0.25">
      <c r="A6" s="68" t="s">
        <v>195</v>
      </c>
      <c r="B6" s="68">
        <v>1005</v>
      </c>
      <c r="C6" s="68">
        <v>131</v>
      </c>
      <c r="D6" s="68">
        <v>163</v>
      </c>
    </row>
    <row r="7" spans="1:4" x14ac:dyDescent="0.25">
      <c r="A7" s="68" t="s">
        <v>195</v>
      </c>
      <c r="B7" s="68">
        <v>1006</v>
      </c>
      <c r="C7" s="68">
        <v>117</v>
      </c>
      <c r="D7" s="68">
        <v>144</v>
      </c>
    </row>
    <row r="8" spans="1:4" x14ac:dyDescent="0.25">
      <c r="A8" s="68" t="s">
        <v>195</v>
      </c>
      <c r="B8" s="68">
        <v>1007</v>
      </c>
      <c r="C8" s="68">
        <v>164</v>
      </c>
      <c r="D8" s="68">
        <v>197</v>
      </c>
    </row>
    <row r="9" spans="1:4" x14ac:dyDescent="0.25">
      <c r="A9" s="68" t="s">
        <v>196</v>
      </c>
      <c r="B9" s="68">
        <v>1001</v>
      </c>
      <c r="C9" s="68">
        <v>139</v>
      </c>
      <c r="D9" s="68">
        <v>198</v>
      </c>
    </row>
    <row r="10" spans="1:4" x14ac:dyDescent="0.25">
      <c r="A10" s="68" t="s">
        <v>196</v>
      </c>
      <c r="B10" s="68">
        <v>1002</v>
      </c>
      <c r="C10" s="68">
        <v>187</v>
      </c>
      <c r="D10" s="68">
        <v>262</v>
      </c>
    </row>
    <row r="11" spans="1:4" x14ac:dyDescent="0.25">
      <c r="A11" s="68" t="s">
        <v>196</v>
      </c>
      <c r="B11" s="68">
        <v>1003</v>
      </c>
      <c r="C11" s="68">
        <v>124</v>
      </c>
      <c r="D11" s="68">
        <v>174</v>
      </c>
    </row>
    <row r="12" spans="1:4" x14ac:dyDescent="0.25">
      <c r="A12" s="68" t="s">
        <v>196</v>
      </c>
      <c r="B12" s="68">
        <v>1004</v>
      </c>
      <c r="C12" s="68">
        <v>182</v>
      </c>
      <c r="D12" s="68">
        <v>253</v>
      </c>
    </row>
    <row r="13" spans="1:4" x14ac:dyDescent="0.25">
      <c r="A13" s="68" t="s">
        <v>196</v>
      </c>
      <c r="B13" s="68">
        <v>1005</v>
      </c>
      <c r="C13" s="68">
        <v>136</v>
      </c>
      <c r="D13" s="68">
        <v>188</v>
      </c>
    </row>
    <row r="14" spans="1:4" x14ac:dyDescent="0.25">
      <c r="A14" s="68" t="s">
        <v>196</v>
      </c>
      <c r="B14" s="68">
        <v>1006</v>
      </c>
      <c r="C14" s="68">
        <v>121</v>
      </c>
      <c r="D14" s="68">
        <v>170</v>
      </c>
    </row>
    <row r="15" spans="1:4" x14ac:dyDescent="0.25">
      <c r="A15" s="68" t="s">
        <v>196</v>
      </c>
      <c r="B15" s="68">
        <v>1007</v>
      </c>
      <c r="C15" s="68">
        <v>163</v>
      </c>
      <c r="D15" s="68">
        <v>226</v>
      </c>
    </row>
    <row r="16" spans="1:4" x14ac:dyDescent="0.25">
      <c r="A16" s="68" t="s">
        <v>196</v>
      </c>
      <c r="B16" s="68">
        <v>1008</v>
      </c>
      <c r="C16" s="68">
        <v>124</v>
      </c>
      <c r="D16" s="68">
        <v>172</v>
      </c>
    </row>
    <row r="17" spans="1:4" x14ac:dyDescent="0.25">
      <c r="A17" s="68" t="s">
        <v>196</v>
      </c>
      <c r="B17" s="68">
        <v>1009</v>
      </c>
      <c r="C17" s="68">
        <v>180</v>
      </c>
      <c r="D17" s="68">
        <v>251</v>
      </c>
    </row>
    <row r="18" spans="1:4" x14ac:dyDescent="0.25">
      <c r="A18" s="68" t="s">
        <v>197</v>
      </c>
      <c r="B18" s="68">
        <v>1001</v>
      </c>
      <c r="C18" s="68">
        <v>140</v>
      </c>
      <c r="D18" s="68">
        <v>189</v>
      </c>
    </row>
    <row r="19" spans="1:4" x14ac:dyDescent="0.25">
      <c r="A19" s="68" t="s">
        <v>197</v>
      </c>
      <c r="B19" s="68">
        <v>1002</v>
      </c>
      <c r="C19" s="68">
        <v>184</v>
      </c>
      <c r="D19" s="68">
        <v>244</v>
      </c>
    </row>
    <row r="20" spans="1:4" x14ac:dyDescent="0.25">
      <c r="A20" s="68" t="s">
        <v>197</v>
      </c>
      <c r="B20" s="68">
        <v>1003</v>
      </c>
      <c r="C20" s="68">
        <v>125</v>
      </c>
      <c r="D20" s="68">
        <v>168</v>
      </c>
    </row>
    <row r="21" spans="1:4" x14ac:dyDescent="0.25">
      <c r="A21" s="68" t="s">
        <v>197</v>
      </c>
      <c r="B21" s="68">
        <v>1004</v>
      </c>
      <c r="C21" s="68">
        <v>181</v>
      </c>
      <c r="D21" s="68">
        <v>235</v>
      </c>
    </row>
    <row r="22" spans="1:4" x14ac:dyDescent="0.25">
      <c r="A22" s="68" t="s">
        <v>197</v>
      </c>
      <c r="B22" s="68">
        <v>1005</v>
      </c>
      <c r="C22" s="68">
        <v>132</v>
      </c>
      <c r="D22" s="68">
        <v>174</v>
      </c>
    </row>
    <row r="23" spans="1:4" x14ac:dyDescent="0.25">
      <c r="A23" s="68" t="s">
        <v>197</v>
      </c>
      <c r="B23" s="68">
        <v>1006</v>
      </c>
      <c r="C23" s="68">
        <v>117</v>
      </c>
      <c r="D23" s="68">
        <v>158</v>
      </c>
    </row>
    <row r="24" spans="1:4" x14ac:dyDescent="0.25">
      <c r="A24" s="68" t="s">
        <v>197</v>
      </c>
      <c r="B24" s="68">
        <v>1007</v>
      </c>
      <c r="C24" s="68">
        <v>164</v>
      </c>
      <c r="D24" s="68">
        <v>218</v>
      </c>
    </row>
    <row r="25" spans="1:4" x14ac:dyDescent="0.25">
      <c r="A25" s="68" t="s">
        <v>197</v>
      </c>
      <c r="B25" s="68">
        <v>1008</v>
      </c>
      <c r="C25" s="68">
        <v>129</v>
      </c>
      <c r="D25" s="68">
        <v>174</v>
      </c>
    </row>
    <row r="26" spans="1:4" x14ac:dyDescent="0.25">
      <c r="A26" s="68" t="s">
        <v>231</v>
      </c>
      <c r="B26" s="68"/>
      <c r="C26" s="68"/>
      <c r="D26" s="68"/>
    </row>
    <row r="27" spans="1:4" x14ac:dyDescent="0.25">
      <c r="A27" s="68" t="s">
        <v>231</v>
      </c>
      <c r="B27" s="68"/>
      <c r="C27" s="68"/>
      <c r="D27" s="68"/>
    </row>
    <row r="28" spans="1:4" x14ac:dyDescent="0.25">
      <c r="A28" s="68" t="s">
        <v>231</v>
      </c>
      <c r="B28" s="68"/>
      <c r="C28" s="68"/>
      <c r="D28" s="68"/>
    </row>
    <row r="29" spans="1:4" x14ac:dyDescent="0.25">
      <c r="A29" s="68" t="s">
        <v>231</v>
      </c>
      <c r="B29" s="68"/>
      <c r="C29" s="68"/>
      <c r="D29" s="68"/>
    </row>
    <row r="30" spans="1:4" x14ac:dyDescent="0.25">
      <c r="A30" s="68" t="s">
        <v>231</v>
      </c>
      <c r="B30" s="68"/>
      <c r="C30" s="68"/>
      <c r="D30" s="68"/>
    </row>
    <row r="31" spans="1:4" x14ac:dyDescent="0.25">
      <c r="A31" s="68" t="s">
        <v>231</v>
      </c>
      <c r="B31" s="68"/>
      <c r="C31" s="68"/>
      <c r="D31" s="68"/>
    </row>
    <row r="32" spans="1:4" x14ac:dyDescent="0.25">
      <c r="A32" s="68" t="s">
        <v>231</v>
      </c>
      <c r="B32" s="68"/>
      <c r="C32" s="68"/>
      <c r="D32" s="68"/>
    </row>
    <row r="33" spans="1:4" x14ac:dyDescent="0.25">
      <c r="A33" s="68" t="s">
        <v>231</v>
      </c>
      <c r="B33" s="68"/>
      <c r="C33" s="68"/>
      <c r="D33" s="68"/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71748-7019-425B-9556-4CE1DB114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сортиров</vt:lpstr>
      <vt:lpstr>фильтрация</vt:lpstr>
      <vt:lpstr>груп_вер</vt:lpstr>
      <vt:lpstr>груп_гориз</vt:lpstr>
      <vt:lpstr>груп-ка _копир</vt:lpstr>
      <vt:lpstr>ум_таб</vt:lpstr>
      <vt:lpstr>свод_готов</vt:lpstr>
      <vt:lpstr>выч_поле_свод</vt:lpstr>
      <vt:lpstr>загрузка</vt:lpstr>
      <vt:lpstr>из 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2025-08-29T04:04:31Z</dcterms:created>
  <dcterms:modified xsi:type="dcterms:W3CDTF">2025-09-20T14:23:37Z</dcterms:modified>
</cp:coreProperties>
</file>