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3.xml" ContentType="application/vnd.openxmlformats-officedocument.themeOverrid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6_Excel_3\"/>
    </mc:Choice>
  </mc:AlternateContent>
  <xr:revisionPtr revIDLastSave="0" documentId="13_ncr:1_{6EDE1BE7-FD90-4EB6-A799-B4019A126BA0}" xr6:coauthVersionLast="47" xr6:coauthVersionMax="47" xr10:uidLastSave="{00000000-0000-0000-0000-000000000000}"/>
  <bookViews>
    <workbookView xWindow="3960" yWindow="510" windowWidth="24690" windowHeight="14595" tabRatio="878" xr2:uid="{AE29819E-B612-46E1-B171-9002B41ADE31}"/>
  </bookViews>
  <sheets>
    <sheet name="выбор" sheetId="2" r:id="rId1"/>
    <sheet name="тренд во времени" sheetId="1" r:id="rId2"/>
    <sheet name="лин_ умен." sheetId="3" r:id="rId3"/>
    <sheet name="пай" sheetId="6" r:id="rId4"/>
    <sheet name="рассеивание" sheetId="5" r:id="rId5"/>
    <sheet name="столбчатая" sheetId="7" r:id="rId6"/>
    <sheet name="спарклайны" sheetId="4" r:id="rId7"/>
    <sheet name="от группировки" sheetId="9" r:id="rId8"/>
    <sheet name="созд_шаблона" sheetId="8" r:id="rId9"/>
    <sheet name="вст_шаблона" sheetId="10" r:id="rId10"/>
    <sheet name="коп_форм" sheetId="11" r:id="rId11"/>
    <sheet name="Диаграммы" sheetId="12" r:id="rId12"/>
  </sheets>
  <definedNames>
    <definedName name="_xlnm._FilterDatabase" localSheetId="6" hidden="1">спарклайны!$A$1:$H$34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1" l="1"/>
  <c r="L5" i="11"/>
  <c r="K5" i="11"/>
  <c r="J5" i="11"/>
  <c r="I5" i="11"/>
  <c r="H5" i="11"/>
  <c r="G5" i="11"/>
  <c r="F5" i="11"/>
  <c r="E5" i="11"/>
  <c r="D5" i="11"/>
  <c r="C5" i="11"/>
  <c r="B5" i="11"/>
  <c r="N4" i="11"/>
  <c r="N3" i="11"/>
  <c r="N2" i="11"/>
  <c r="E5" i="10"/>
  <c r="D14" i="10"/>
  <c r="C14" i="10"/>
  <c r="B14" i="10"/>
  <c r="E13" i="10"/>
  <c r="E12" i="10"/>
  <c r="E11" i="10"/>
  <c r="E10" i="10"/>
  <c r="E9" i="10"/>
  <c r="E8" i="10"/>
  <c r="E7" i="10"/>
  <c r="E6" i="10"/>
  <c r="E4" i="10"/>
  <c r="E3" i="10"/>
  <c r="E2" i="10"/>
  <c r="R5" i="9"/>
  <c r="Q5" i="9"/>
  <c r="M5" i="9"/>
  <c r="I5" i="9"/>
  <c r="E5" i="9"/>
  <c r="R3" i="9"/>
  <c r="R4" i="9"/>
  <c r="R2" i="9"/>
  <c r="Q4" i="9"/>
  <c r="Q3" i="9"/>
  <c r="M3" i="9"/>
  <c r="M4" i="9"/>
  <c r="Q2" i="9"/>
  <c r="M2" i="9"/>
  <c r="I3" i="9"/>
  <c r="I4" i="9"/>
  <c r="I2" i="9"/>
  <c r="E3" i="9"/>
  <c r="E4" i="9"/>
  <c r="E2" i="9"/>
  <c r="P5" i="9"/>
  <c r="O5" i="9"/>
  <c r="N5" i="9"/>
  <c r="L5" i="9"/>
  <c r="K5" i="9"/>
  <c r="J5" i="9"/>
  <c r="H5" i="9"/>
  <c r="G5" i="9"/>
  <c r="F5" i="9"/>
  <c r="D5" i="9"/>
  <c r="C5" i="9"/>
  <c r="B5" i="9"/>
  <c r="N5" i="11" l="1"/>
  <c r="E14" i="10"/>
  <c r="F8" i="10" s="1"/>
  <c r="F14" i="8"/>
  <c r="E14" i="8"/>
  <c r="D14" i="8"/>
  <c r="C14" i="8"/>
  <c r="B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D14" i="4"/>
  <c r="C14" i="4"/>
  <c r="B14" i="4"/>
  <c r="E13" i="4"/>
  <c r="E12" i="4"/>
  <c r="E11" i="4"/>
  <c r="E10" i="4"/>
  <c r="E9" i="4"/>
  <c r="E8" i="4"/>
  <c r="E7" i="4"/>
  <c r="E6" i="4"/>
  <c r="E5" i="4"/>
  <c r="E4" i="4"/>
  <c r="E3" i="4"/>
  <c r="E2" i="4"/>
  <c r="F14" i="7"/>
  <c r="E14" i="7"/>
  <c r="D14" i="7"/>
  <c r="C14" i="7"/>
  <c r="B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14" i="6"/>
  <c r="E14" i="6"/>
  <c r="D14" i="6"/>
  <c r="C14" i="6"/>
  <c r="B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2" i="6"/>
  <c r="E2" i="6"/>
  <c r="B14" i="1"/>
  <c r="E14" i="4" l="1"/>
  <c r="F2" i="4" s="1"/>
  <c r="F3" i="4"/>
  <c r="F6" i="4"/>
  <c r="F5" i="4"/>
  <c r="F14" i="4"/>
  <c r="F4" i="4"/>
  <c r="F9" i="4"/>
  <c r="F8" i="4"/>
  <c r="F13" i="4"/>
  <c r="F12" i="4"/>
  <c r="F10" i="4"/>
  <c r="F11" i="4"/>
  <c r="F7" i="4"/>
  <c r="F3" i="10"/>
  <c r="F9" i="10"/>
  <c r="F5" i="10"/>
  <c r="F12" i="10"/>
  <c r="F10" i="10"/>
  <c r="F14" i="10"/>
  <c r="F7" i="10"/>
  <c r="F13" i="10"/>
  <c r="F11" i="10"/>
  <c r="F6" i="10"/>
  <c r="F4" i="10"/>
  <c r="F2" i="10"/>
</calcChain>
</file>

<file path=xl/sharedStrings.xml><?xml version="1.0" encoding="utf-8"?>
<sst xmlns="http://schemas.openxmlformats.org/spreadsheetml/2006/main" count="349" uniqueCount="144">
  <si>
    <t>Месяц</t>
  </si>
  <si>
    <t>Объем продаж (тыс. руб.)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</si>
  <si>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</si>
  <si>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</si>
  <si>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</si>
  <si>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</si>
  <si>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</si>
  <si>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</si>
  <si>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</si>
  <si>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</si>
  <si>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</si>
  <si>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</si>
  <si>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</si>
  <si>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</si>
  <si>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Цель: Отобразить динамику объема продаж в течение года, чтобы увидеть тренды и сезонность.</t>
  </si>
  <si>
    <t xml:space="preserve">Анализ тренда продаж во времени
</t>
  </si>
  <si>
    <r>
      <t>Гистограмма (столбчатая диаграмма):</t>
    </r>
    <r>
      <rPr>
        <sz val="12"/>
        <color rgb="FF212529"/>
        <rFont val="Times New Roman"/>
        <family val="1"/>
        <charset val="204"/>
      </rPr>
      <t xml:space="preserve"> Подходит для сравнения значений между различными </t>
    </r>
    <r>
      <rPr>
        <b/>
        <sz val="12"/>
        <color rgb="FF0070C0"/>
        <rFont val="Times New Roman"/>
        <family val="1"/>
        <charset val="204"/>
      </rPr>
      <t>категориями.</t>
    </r>
    <r>
      <rPr>
        <sz val="12"/>
        <color rgb="FF0070C0"/>
        <rFont val="Times New Roman"/>
        <family val="1"/>
        <charset val="204"/>
      </rPr>
      <t xml:space="preserve"> </t>
    </r>
    <r>
      <rPr>
        <sz val="12"/>
        <color rgb="FF212529"/>
        <rFont val="Times New Roman"/>
        <family val="1"/>
        <charset val="204"/>
      </rPr>
      <t>(Например, сравнение продаж по регионам, количество сотрудников по должностям).</t>
    </r>
  </si>
  <si>
    <r>
      <t>Кольцевая диаграмма:</t>
    </r>
    <r>
      <rPr>
        <sz val="12"/>
        <color rgb="FF212529"/>
        <rFont val="Times New Roman"/>
        <family val="1"/>
        <charset val="204"/>
      </rPr>
      <t> Похожа на круговую, но может содержать несколько рядов данных (несколько кругов).</t>
    </r>
  </si>
  <si>
    <t>Линейная диаграмма (график): Подходит для отображения изменений данных во времени. (Например, изменение температуры в течение дня, динамика курса валюты).</t>
  </si>
  <si>
    <t>Круговая диаграмма: Подходит для отображения долей каждой категории в общей сумме. (Например, структура затрат компании, распределение рынка между конкурентами). Ограничение: хорошо работает с небольшим количеством категорий.</t>
  </si>
  <si>
    <t>Диаграмма рассеяния (точечная диаграмма): Подходит для отображения зависимости между двумя переменными. (Например, зависимость между ростом и весом человека, зависимость между рекламными расходами и объемом продаж).</t>
  </si>
  <si>
    <t>Диаграмма с областями: Похожа на линейную диаграмму, но области под линиями заполняются цветом. Позволяет подчеркнуть величину изменений.</t>
  </si>
  <si>
    <t>Гистограмма с накоплением: Позволяет сравнить вклад каждой категории в общую сумму для разных групп.</t>
  </si>
  <si>
    <t>1. Выберите диапазон ячеек (Включая заголовки столбцов и строк).</t>
  </si>
  <si>
    <t>3. Добавьте необходимое Вкладка “Конструктор” -Добавить элемент диаграммы</t>
  </si>
  <si>
    <t>4. выделяя элементы сделать  визуальную настройку</t>
  </si>
  <si>
    <t>Сравнение продаж по месяцам</t>
  </si>
  <si>
    <r>
      <t xml:space="preserve">2. </t>
    </r>
    <r>
      <rPr>
        <b/>
        <sz val="11"/>
        <color rgb="FF002060"/>
        <rFont val="Times New Roman"/>
        <family val="1"/>
        <charset val="204"/>
      </rPr>
      <t>Вкладка “Вставка” -&gt; группа “Диаграммы” -&gt; выберите тип диаграммы</t>
    </r>
    <r>
      <rPr>
        <sz val="11"/>
        <color rgb="FF002060"/>
        <rFont val="Times New Roman"/>
        <family val="1"/>
        <charset val="204"/>
      </rPr>
      <t>.</t>
    </r>
  </si>
  <si>
    <r>
      <t>Когда использовать линейный тип:</t>
    </r>
    <r>
      <rPr>
        <sz val="12"/>
        <color rgb="FF212529"/>
        <rFont val="Times New Roman"/>
        <family val="1"/>
        <charset val="204"/>
      </rPr>
      <t> Для отображения трендов во времени (например, изменение объема продаж, температуры, цен акций).</t>
    </r>
  </si>
  <si>
    <r>
      <t>Когда использовать гистограмму:</t>
    </r>
    <r>
      <rPr>
        <sz val="12"/>
        <color rgb="FF212529"/>
        <rFont val="Times New Roman"/>
        <family val="1"/>
        <charset val="204"/>
      </rPr>
      <t> Для сравнения дискретных значений (например, объем продаж по разным месяцам, категориям продуктов, регионам).</t>
    </r>
  </si>
  <si>
    <t>Регион</t>
  </si>
  <si>
    <t>Товар</t>
  </si>
  <si>
    <t>Дата заказа</t>
  </si>
  <si>
    <t>Заказчики</t>
  </si>
  <si>
    <t>Количество</t>
  </si>
  <si>
    <t>Доход</t>
  </si>
  <si>
    <t>Себестоимость</t>
  </si>
  <si>
    <t>Прибыль</t>
  </si>
  <si>
    <t>Восток</t>
  </si>
  <si>
    <t>XYZ</t>
  </si>
  <si>
    <t>Заказчик 10</t>
  </si>
  <si>
    <t>Центр</t>
  </si>
  <si>
    <t>DEF</t>
  </si>
  <si>
    <t>Заказчик 26</t>
  </si>
  <si>
    <t>Заказчик 25</t>
  </si>
  <si>
    <t>Заказчик 18</t>
  </si>
  <si>
    <t>ABC</t>
  </si>
  <si>
    <t>Заказчик 12</t>
  </si>
  <si>
    <t>Заказчик 24</t>
  </si>
  <si>
    <t>Заказчик 27</t>
  </si>
  <si>
    <t>Заказчик 15</t>
  </si>
  <si>
    <t>Заказчик 2</t>
  </si>
  <si>
    <t>Заказчик б</t>
  </si>
  <si>
    <t>Запад</t>
  </si>
  <si>
    <t>Заказчик 22</t>
  </si>
  <si>
    <t>Заказчик 11</t>
  </si>
  <si>
    <t>Заказчик 4</t>
  </si>
  <si>
    <t>Заказчик 9</t>
  </si>
  <si>
    <t>было</t>
  </si>
  <si>
    <t>стало</t>
  </si>
  <si>
    <t>Расходы на рекламу (тыс. руб.)</t>
  </si>
  <si>
    <t>Продукт A</t>
  </si>
  <si>
    <t>Продукт B</t>
  </si>
  <si>
    <t>Продукт C</t>
  </si>
  <si>
    <r>
      <t>Когда использовать:</t>
    </r>
    <r>
      <rPr>
        <sz val="12"/>
        <color rgb="FF212529"/>
        <rFont val="Times New Roman"/>
        <family val="1"/>
        <charset val="204"/>
      </rPr>
      <t> Для отображения долей целого (например, доля рынка для разных компаний, доля расходов в бюджете). </t>
    </r>
    <r>
      <rPr>
        <b/>
        <sz val="12"/>
        <color rgb="FF212529"/>
        <rFont val="Times New Roman"/>
        <family val="1"/>
        <charset val="204"/>
      </rPr>
      <t>Важно:</t>
    </r>
    <r>
      <rPr>
        <sz val="12"/>
        <color rgb="FF212529"/>
        <rFont val="Times New Roman"/>
        <family val="1"/>
        <charset val="204"/>
      </rPr>
      <t> Круговые диаграммы не очень хорошо подходят для отображения большого количества категорий (обычно не более 5-7).</t>
    </r>
  </si>
  <si>
    <t>Круговая диаграмма — Отображение доли каждого месяца в годовом объеме продаж</t>
  </si>
  <si>
    <t>итого</t>
  </si>
  <si>
    <t xml:space="preserve">сумма </t>
  </si>
  <si>
    <t>доля</t>
  </si>
  <si>
    <t>если таблица не так составлена то можно переключить</t>
  </si>
  <si>
    <t>Диаграмма рассеяния (точечная диаграмма) — Анализ взаимосвязи между двумя переменными</t>
  </si>
  <si>
    <r>
      <t>Когда использовать:</t>
    </r>
    <r>
      <rPr>
        <sz val="12"/>
        <color rgb="FF212529"/>
        <rFont val="Times New Roman"/>
        <family val="1"/>
        <charset val="204"/>
      </rPr>
      <t> Для анализа взаимосвязей между двумя числовыми переменными (например, зависимость между температурой и продажами мороженого, между расходами на маркетинг и количеством клиентов).</t>
    </r>
  </si>
  <si>
    <r>
      <t>Когда использовать:</t>
    </r>
    <r>
      <rPr>
        <sz val="12"/>
        <color rgb="FF212529"/>
        <rFont val="Times New Roman"/>
        <family val="1"/>
        <charset val="204"/>
      </rPr>
      <t> Для отображения вклада каждой категории в общий итог с течением времени (например, изменение доли рынка для разных компаний, изменение структуры расходов в бюджете).</t>
    </r>
  </si>
  <si>
    <t>Диаграмма с областями — Отображение вклада каждой категории в общий объем с течением времени</t>
  </si>
  <si>
    <t>кв1</t>
  </si>
  <si>
    <t>кв2</t>
  </si>
  <si>
    <t>кв3</t>
  </si>
  <si>
    <t>кв4</t>
  </si>
  <si>
    <t>Цель создание шаблона диаграммы</t>
  </si>
  <si>
    <t>настраиваем 3 месяца и 3 продукта</t>
  </si>
  <si>
    <t>ПР.кн - Создать как шаблон - название *.crtx</t>
  </si>
  <si>
    <t>Cоздали диаграмму</t>
  </si>
  <si>
    <t>Отформатировали</t>
  </si>
  <si>
    <t>3 месяца  и 3 продукта</t>
  </si>
  <si>
    <t xml:space="preserve">показ </t>
  </si>
  <si>
    <t>загрузка шаблона на созданную диаграмму</t>
  </si>
  <si>
    <t>создание шаблона</t>
  </si>
  <si>
    <t>ПР.кн - изменить тип диаграммы- шаблоны- выбрать -ОК</t>
  </si>
  <si>
    <t>вставка-рекомендуемые-все диаграммы -шаблоны</t>
  </si>
  <si>
    <t>выделяем данные</t>
  </si>
  <si>
    <t>показ</t>
  </si>
  <si>
    <t>отследить оси поправить если сбились и название новое</t>
  </si>
  <si>
    <t>создание на основе шаблона индентичной таблицы</t>
  </si>
  <si>
    <t>по линии лев.кн - фильтры диаграммы  -выбрали только 2  и временной  через 7 дней</t>
  </si>
  <si>
    <t>можно включить линию тренда</t>
  </si>
  <si>
    <t>сделать "визуальную  подачу"</t>
  </si>
  <si>
    <t xml:space="preserve"> 2 щелчка по линии - нажимаем на зеленый крестик, таблицу данных,убираем легенду и метки </t>
  </si>
  <si>
    <t>не перегружаем график</t>
  </si>
  <si>
    <t>Цель создание на основе шаблона</t>
  </si>
  <si>
    <t xml:space="preserve"> выделить диаграмму</t>
  </si>
  <si>
    <t>перенос  диаграммы в Power Point</t>
  </si>
  <si>
    <t>премещение в пределах excel</t>
  </si>
  <si>
    <t>конструктор-переместить диаграмму -</t>
  </si>
  <si>
    <t>указать куда на отдельный или выбрать из тех что есть</t>
  </si>
  <si>
    <t>Цель   создание микрографиков (спарклайны)</t>
  </si>
  <si>
    <t>выделить столбец</t>
  </si>
  <si>
    <t>вставка- спайрклайн-график</t>
  </si>
  <si>
    <t>диапазон данных , куда вставить -ок</t>
  </si>
  <si>
    <t>создание спарклайна</t>
  </si>
  <si>
    <t>поствить какие маркеры нам важны</t>
  </si>
  <si>
    <t xml:space="preserve"> можно поменять вид</t>
  </si>
  <si>
    <t>готовые варианты</t>
  </si>
  <si>
    <t>создать диаграмму</t>
  </si>
  <si>
    <t>2025 другой год</t>
  </si>
  <si>
    <t>В Excel:</t>
  </si>
  <si>
    <t>Выделите диаграмму, которую хотите вставить в PowerPoint.</t>
  </si>
  <si>
    <t>В PowerPoint:</t>
  </si>
  <si>
    <t>Откройте PowerPoint и перейдите на слайд, на который хотите добавить диаграмму.</t>
  </si>
  <si>
    <r>
      <t>Нажмите Ctrl+C (копировать) или щелкните пр. кн.мыши по диаграмме -</t>
    </r>
    <r>
      <rPr>
        <b/>
        <sz val="12"/>
        <color rgb="FF0070C0"/>
        <rFont val="Times New Roman"/>
        <family val="1"/>
        <charset val="204"/>
      </rPr>
      <t>Копировать.</t>
    </r>
  </si>
  <si>
    <r>
      <t>Нажмите Ctrl+V (вставить) или пр. кн.мыши -</t>
    </r>
    <r>
      <rPr>
        <b/>
        <sz val="12"/>
        <color rgb="FF0070C0"/>
        <rFont val="Times New Roman"/>
        <family val="1"/>
        <charset val="204"/>
      </rPr>
      <t>Вставить.</t>
    </r>
  </si>
  <si>
    <r>
      <t>Убедитесь, что вы вставили диаграмму </t>
    </r>
    <r>
      <rPr>
        <b/>
        <sz val="12"/>
        <color rgb="FF0070C0"/>
        <rFont val="Times New Roman"/>
        <family val="1"/>
        <charset val="204"/>
      </rPr>
      <t>как объект Microsoft Excel Chart</t>
    </r>
  </si>
  <si>
    <t xml:space="preserve"> цель  переключение расположение  данных</t>
  </si>
  <si>
    <t xml:space="preserve">выделить диаграмму </t>
  </si>
  <si>
    <t>конструктор диаграмм- строка /столбец</t>
  </si>
  <si>
    <t>Цель зависимось вида диаграммы от группировки</t>
  </si>
  <si>
    <t xml:space="preserve"> взависимости от группировки разный вид диаграмм </t>
  </si>
  <si>
    <t xml:space="preserve"> внутри если перекрывают  кубики  можно передвигать значения кто первый</t>
  </si>
  <si>
    <t>выделить диаграмму</t>
  </si>
  <si>
    <t>фильтр- выбрать данные</t>
  </si>
  <si>
    <t>в элементах легенды  треугольничками  строку вверх или вниз</t>
  </si>
  <si>
    <t>сворачиваем группировку до нужных результатов</t>
  </si>
  <si>
    <t>меняем название взависимости от того какие данные показаны</t>
  </si>
  <si>
    <t>создаем группировку</t>
  </si>
  <si>
    <t xml:space="preserve">форматируем </t>
  </si>
  <si>
    <t>создаем первую диаграмму</t>
  </si>
  <si>
    <t>Цель копирование одного формата диаграммы на другую диаграмму</t>
  </si>
  <si>
    <t>создаем 2 диаграмму</t>
  </si>
  <si>
    <t>выделяем 1 диаграмму CTRL+C</t>
  </si>
  <si>
    <t>выделяем 2 диаграмму CTRL+V</t>
  </si>
  <si>
    <t>копирование формата</t>
  </si>
  <si>
    <t>убираем ненужные данные корректируем  цвет самой линии</t>
  </si>
  <si>
    <t>корректируем  цвет самой линии и маркеров</t>
  </si>
  <si>
    <t>данные будут изменяться  в соотвествии с таблицей excel</t>
  </si>
  <si>
    <t>Если закрыли РowerPoint и после открытия  данные не реагируют-пр.кн. по диаграмме-изменить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</si>
</sst>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212529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sz val="11"/>
      <color rgb="FF002060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sz val="10"/>
      <color rgb="FF212529"/>
      <name val="Times New Roman"/>
      <family val="1"/>
      <charset val="204"/>
    </font>
    <font>
      <b/>
      <sz val="10"/>
      <color rgb="FF212529"/>
      <name val="Times New Roman"/>
      <family val="1"/>
      <charset val="204"/>
    </font>
    <font>
      <sz val="16"/>
      <color rgb="FFFF0000"/>
      <name val="Arial Black"/>
      <family val="2"/>
      <charset val="204"/>
    </font>
    <font>
      <sz val="18"/>
      <color rgb="FF004620"/>
      <name val="Arial Black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b/>
      <sz val="14"/>
      <color theme="1"/>
      <name val="Arial Black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b/>
      <sz val="16"/>
      <color theme="1"/>
      <name val="Arial Black"/>
      <family val="2"/>
      <charset val="204"/>
    </font>
    <font>
      <sz val="11"/>
      <color rgb="FF0070C0"/>
      <name val="Times New Roman"/>
      <family val="1"/>
      <charset val="204"/>
    </font>
    <font>
      <b/>
      <sz val="11"/>
      <color rgb="FFC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center" indent="1"/>
    </xf>
    <xf numFmtId="0" fontId="12" fillId="2" borderId="1" xfId="0" applyFont="1" applyFill="1" applyBorder="1" applyAlignment="1">
      <alignment horizontal="left" vertical="top" wrapText="1"/>
    </xf>
    <xf numFmtId="14" fontId="12" fillId="2" borderId="1" xfId="0" applyNumberFormat="1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14" fontId="12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7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9" fontId="0" fillId="0" borderId="1" xfId="1" applyFont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21" fillId="0" borderId="0" xfId="0" applyFont="1" applyAlignment="1">
      <alignment horizontal="left" vertical="top"/>
    </xf>
    <xf numFmtId="0" fontId="22" fillId="0" borderId="0" xfId="0" applyFont="1"/>
    <xf numFmtId="0" fontId="1" fillId="0" borderId="0" xfId="0" applyFont="1" applyAlignment="1">
      <alignment horizontal="left" vertical="center" indent="2"/>
    </xf>
    <xf numFmtId="0" fontId="23" fillId="0" borderId="0" xfId="0" applyFont="1"/>
    <xf numFmtId="0" fontId="24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3" fillId="0" borderId="3" xfId="0" applyFont="1" applyBorder="1"/>
    <xf numFmtId="0" fontId="18" fillId="0" borderId="4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8DCE5"/>
      <color rgb="FF660033"/>
      <color rgb="FF004620"/>
      <color rgb="FFA40000"/>
      <color rgb="FFDA5536"/>
      <color rgb="FFFFFCF3"/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40067804024497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2414380454548537E-2"/>
          <c:y val="0.12730393342470417"/>
          <c:w val="0.93589349163473989"/>
          <c:h val="0.66259797730061898"/>
        </c:manualLayout>
      </c:layout>
      <c:lineChart>
        <c:grouping val="standard"/>
        <c:varyColors val="0"/>
        <c:ser>
          <c:idx val="0"/>
          <c:order val="0"/>
          <c:tx>
            <c:strRef>
              <c:f>'тренд во времени'!$B$1</c:f>
              <c:strCache>
                <c:ptCount val="1"/>
                <c:pt idx="0">
                  <c:v>Объем продаж (тыс. руб.)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'тренд во времени'!$A$2:$A$13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'тренд во времени'!$B$2:$B$13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140</c:v>
                </c:pt>
                <c:pt idx="4">
                  <c:v>160</c:v>
                </c:pt>
                <c:pt idx="5">
                  <c:v>175</c:v>
                </c:pt>
                <c:pt idx="6">
                  <c:v>190</c:v>
                </c:pt>
                <c:pt idx="7">
                  <c:v>180</c:v>
                </c:pt>
                <c:pt idx="8">
                  <c:v>200</c:v>
                </c:pt>
                <c:pt idx="9">
                  <c:v>210</c:v>
                </c:pt>
                <c:pt idx="10">
                  <c:v>225</c:v>
                </c:pt>
                <c:pt idx="11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3-4B1A-BA6D-5BA54562C4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5741439"/>
        <c:axId val="1865736159"/>
      </c:lineChart>
      <c:catAx>
        <c:axId val="186574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accent1">
                <a:lumMod val="20000"/>
                <a:lumOff val="80000"/>
                <a:alpha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accent1">
                    <a:lumMod val="75000"/>
                  </a:schemeClr>
                </a:solidFill>
                <a:effectLst>
                  <a:outerShdw blurRad="38100" dist="88900" dir="5400000" algn="ctr" rotWithShape="0">
                    <a:schemeClr val="bg2"/>
                  </a:outerShdw>
                  <a:reflection stA="45000" endPos="1000" dist="381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736159"/>
        <c:crosses val="autoZero"/>
        <c:auto val="1"/>
        <c:lblAlgn val="ctr"/>
        <c:lblOffset val="100"/>
        <c:noMultiLvlLbl val="0"/>
      </c:catAx>
      <c:valAx>
        <c:axId val="18657361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574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4300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4800000" scaled="0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660033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'тренд во времени'!$B$1</c:f>
              <c:strCache>
                <c:ptCount val="1"/>
                <c:pt idx="0">
                  <c:v>Объем продаж (тыс. руб.)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5000"/>
                    <a:lumOff val="55000"/>
                  </a:schemeClr>
                </a:gs>
                <a:gs pos="88000">
                  <a:schemeClr val="accent5">
                    <a:lumMod val="45000"/>
                    <a:lumOff val="55000"/>
                  </a:schemeClr>
                </a:gs>
                <a:gs pos="41000">
                  <a:srgbClr val="0070C0"/>
                </a:gs>
                <a:gs pos="14000">
                  <a:srgbClr val="0070C0"/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4800000" scaled="0"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>
                    <a:alpha val="80000"/>
                  </a:srgbClr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'тренд во времени'!$A$2:$A$13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'тренд во времени'!$B$2:$B$13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140</c:v>
                </c:pt>
                <c:pt idx="4">
                  <c:v>160</c:v>
                </c:pt>
                <c:pt idx="5">
                  <c:v>175</c:v>
                </c:pt>
                <c:pt idx="6">
                  <c:v>190</c:v>
                </c:pt>
                <c:pt idx="7">
                  <c:v>180</c:v>
                </c:pt>
                <c:pt idx="8">
                  <c:v>200</c:v>
                </c:pt>
                <c:pt idx="9">
                  <c:v>210</c:v>
                </c:pt>
                <c:pt idx="10">
                  <c:v>225</c:v>
                </c:pt>
                <c:pt idx="1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4-485E-B294-A7E1F7276C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5727039"/>
        <c:axId val="1865730399"/>
      </c:barChart>
      <c:catAx>
        <c:axId val="18657270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rgbClr val="660033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730399"/>
        <c:crosses val="autoZero"/>
        <c:auto val="1"/>
        <c:lblAlgn val="ctr"/>
        <c:lblOffset val="100"/>
        <c:noMultiLvlLbl val="0"/>
      </c:catAx>
      <c:valAx>
        <c:axId val="18657303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57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21000">
          <a:schemeClr val="accent4">
            <a:lumMod val="20000"/>
            <a:lumOff val="80000"/>
          </a:schemeClr>
        </a:gs>
        <a:gs pos="48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4800000" scaled="0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A4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rgbClr val="A4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Себестоимость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A4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'лин_ умен.'!$G$1</c:f>
              <c:strCache>
                <c:ptCount val="1"/>
                <c:pt idx="0">
                  <c:v>Себестоимость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('лин_ умен.'!$C$2,'лин_ умен.'!$C$6,'лин_ умен.'!$C$11,'лин_ умен.'!$C$15,'лин_ умен.'!$C$21,'лин_ умен.'!$C$25,'лин_ умен.'!$C$28,'лин_ умен.'!$C$31,'лин_ умен.'!$C$34)</c:f>
              <c:numCache>
                <c:formatCode>m/d/yyyy</c:formatCode>
                <c:ptCount val="9"/>
                <c:pt idx="0">
                  <c:v>42005</c:v>
                </c:pt>
                <c:pt idx="1">
                  <c:v>42011</c:v>
                </c:pt>
                <c:pt idx="2">
                  <c:v>42018</c:v>
                </c:pt>
                <c:pt idx="3">
                  <c:v>42025</c:v>
                </c:pt>
                <c:pt idx="4">
                  <c:v>42033</c:v>
                </c:pt>
                <c:pt idx="5">
                  <c:v>42036</c:v>
                </c:pt>
                <c:pt idx="6">
                  <c:v>42042</c:v>
                </c:pt>
                <c:pt idx="7">
                  <c:v>42049</c:v>
                </c:pt>
                <c:pt idx="8">
                  <c:v>42053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'лин_ умен.'!$G$2:$G$34</c15:sqref>
                  </c15:fullRef>
                </c:ext>
              </c:extLst>
              <c:f>('лин_ умен.'!$G$2,'лин_ умен.'!$G$6,'лин_ умен.'!$G$11,'лин_ умен.'!$G$15,'лин_ умен.'!$G$21,'лин_ умен.'!$G$25,'лин_ умен.'!$G$28,'лин_ умен.'!$G$31,'лин_ умен.'!$G$34)</c:f>
              <c:numCache>
                <c:formatCode>General</c:formatCode>
                <c:ptCount val="9"/>
                <c:pt idx="0">
                  <c:v>10213</c:v>
                </c:pt>
                <c:pt idx="1">
                  <c:v>3389</c:v>
                </c:pt>
                <c:pt idx="2">
                  <c:v>1031</c:v>
                </c:pt>
                <c:pt idx="3">
                  <c:v>1696</c:v>
                </c:pt>
                <c:pt idx="4">
                  <c:v>3403</c:v>
                </c:pt>
                <c:pt idx="5">
                  <c:v>2541</c:v>
                </c:pt>
                <c:pt idx="6">
                  <c:v>8467</c:v>
                </c:pt>
                <c:pt idx="7">
                  <c:v>6895</c:v>
                </c:pt>
                <c:pt idx="8">
                  <c:v>8466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4-4833-9B02-35E9FE213EE0}"/>
            </c:ext>
          </c:extLst>
        </c:ser>
        <c:ser>
          <c:idx val="3"/>
          <c:order val="3"/>
          <c:tx>
            <c:strRef>
              <c:f>'лин_ умен.'!$H$1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38100" cap="rnd">
              <a:solidFill>
                <a:srgbClr val="00823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DA5536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('лин_ умен.'!$C$2,'лин_ умен.'!$C$6,'лин_ умен.'!$C$11,'лин_ умен.'!$C$15,'лин_ умен.'!$C$21,'лин_ умен.'!$C$25,'лин_ умен.'!$C$28,'лин_ умен.'!$C$31,'лин_ умен.'!$C$34)</c:f>
              <c:numCache>
                <c:formatCode>m/d/yyyy</c:formatCode>
                <c:ptCount val="9"/>
                <c:pt idx="0">
                  <c:v>42005</c:v>
                </c:pt>
                <c:pt idx="1">
                  <c:v>42011</c:v>
                </c:pt>
                <c:pt idx="2">
                  <c:v>42018</c:v>
                </c:pt>
                <c:pt idx="3">
                  <c:v>42025</c:v>
                </c:pt>
                <c:pt idx="4">
                  <c:v>42033</c:v>
                </c:pt>
                <c:pt idx="5">
                  <c:v>42036</c:v>
                </c:pt>
                <c:pt idx="6">
                  <c:v>42042</c:v>
                </c:pt>
                <c:pt idx="7">
                  <c:v>42049</c:v>
                </c:pt>
                <c:pt idx="8">
                  <c:v>42053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'лин_ умен.'!$H$2:$H$34</c15:sqref>
                  </c15:fullRef>
                </c:ext>
              </c:extLst>
              <c:f>('лин_ умен.'!$H$2,'лин_ умен.'!$H$6,'лин_ умен.'!$H$11,'лин_ умен.'!$H$15,'лин_ умен.'!$H$21,'лин_ умен.'!$H$25,'лин_ умен.'!$H$28,'лин_ умен.'!$H$31,'лин_ умен.'!$H$34)</c:f>
              <c:numCache>
                <c:formatCode>General</c:formatCode>
                <c:ptCount val="9"/>
                <c:pt idx="0">
                  <c:v>12597</c:v>
                </c:pt>
                <c:pt idx="1">
                  <c:v>5067</c:v>
                </c:pt>
                <c:pt idx="2">
                  <c:v>1370</c:v>
                </c:pt>
                <c:pt idx="3">
                  <c:v>1856</c:v>
                </c:pt>
                <c:pt idx="4">
                  <c:v>3733</c:v>
                </c:pt>
                <c:pt idx="5">
                  <c:v>2991</c:v>
                </c:pt>
                <c:pt idx="6">
                  <c:v>11423</c:v>
                </c:pt>
                <c:pt idx="7">
                  <c:v>6972</c:v>
                </c:pt>
                <c:pt idx="8">
                  <c:v>11784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84-4833-9B02-35E9FE21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565919"/>
        <c:axId val="1750589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'лин_ умен.'!$E$1</c15:sqref>
                        </c15:formulaRef>
                      </c:ext>
                    </c:extLst>
                    <c:strCache>
                      <c:ptCount val="1"/>
                      <c:pt idx="0">
                        <c:v>Количество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'лин_ умен.'!$A$2:$D$34</c15:sqref>
                        </c15:fullRef>
                        <c15:levelRef>
                          <c15:sqref>'лин_ умен.'!$C$2:$C$34</c15:sqref>
                        </c15:levelRef>
                        <c15:formulaRef>
                          <c15:sqref>('лин_ умен.'!$C$2,'лин_ умен.'!$C$6,'лин_ умен.'!$C$11,'лин_ умен.'!$C$15,'лин_ умен.'!$C$21,'лин_ умен.'!$C$25,'лин_ умен.'!$C$28,'лин_ умен.'!$C$31,'лин_ умен.'!$C$34)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42005</c:v>
                      </c:pt>
                      <c:pt idx="1">
                        <c:v>42011</c:v>
                      </c:pt>
                      <c:pt idx="2">
                        <c:v>42018</c:v>
                      </c:pt>
                      <c:pt idx="3">
                        <c:v>42025</c:v>
                      </c:pt>
                      <c:pt idx="4">
                        <c:v>42033</c:v>
                      </c:pt>
                      <c:pt idx="5">
                        <c:v>42036</c:v>
                      </c:pt>
                      <c:pt idx="6">
                        <c:v>42042</c:v>
                      </c:pt>
                      <c:pt idx="7">
                        <c:v>42049</c:v>
                      </c:pt>
                      <c:pt idx="8">
                        <c:v>42053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'лин_ умен.'!$E$2:$E$34</c15:sqref>
                        </c15:fullRef>
                        <c15:formulaRef>
                          <c15:sqref>('лин_ умен.'!$E$2,'лин_ умен.'!$E$6,'лин_ умен.'!$E$11,'лин_ умен.'!$E$15,'лин_ умен.'!$E$21,'лин_ умен.'!$E$25,'лин_ умен.'!$E$28,'лин_ умен.'!$E$31,'лин_ умен.'!$E$34)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954</c:v>
                      </c:pt>
                      <c:pt idx="1">
                        <c:v>401</c:v>
                      </c:pt>
                      <c:pt idx="2">
                        <c:v>91</c:v>
                      </c:pt>
                      <c:pt idx="3">
                        <c:v>250</c:v>
                      </c:pt>
                      <c:pt idx="4">
                        <c:v>389</c:v>
                      </c:pt>
                      <c:pt idx="5">
                        <c:v>346</c:v>
                      </c:pt>
                      <c:pt idx="6">
                        <c:v>985</c:v>
                      </c:pt>
                      <c:pt idx="7">
                        <c:v>706</c:v>
                      </c:pt>
                      <c:pt idx="8">
                        <c:v>1020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384-4833-9B02-35E9FE213EE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'лин_ умен.'!$F$1</c15:sqref>
                        </c15:formulaRef>
                      </c:ext>
                    </c:extLst>
                    <c:strCache>
                      <c:ptCount val="1"/>
                      <c:pt idx="0">
                        <c:v>Доход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'лин_ умен.'!$A$2:$D$34</c15:sqref>
                        </c15:fullRef>
                        <c15:levelRef>
                          <c15:sqref>'лин_ умен.'!$C$2:$C$34</c15:sqref>
                        </c15:levelRef>
                        <c15:formulaRef>
                          <c15:sqref>('лин_ умен.'!$C$2,'лин_ умен.'!$C$6,'лин_ умен.'!$C$11,'лин_ умен.'!$C$15,'лин_ умен.'!$C$21,'лин_ умен.'!$C$25,'лин_ умен.'!$C$28,'лин_ умен.'!$C$31,'лин_ умен.'!$C$34)</c15:sqref>
                        </c15:formulaRef>
                      </c:ext>
                    </c:extLst>
                    <c:numCache>
                      <c:formatCode>m/d/yyyy</c:formatCode>
                      <c:ptCount val="9"/>
                      <c:pt idx="0">
                        <c:v>42005</c:v>
                      </c:pt>
                      <c:pt idx="1">
                        <c:v>42011</c:v>
                      </c:pt>
                      <c:pt idx="2">
                        <c:v>42018</c:v>
                      </c:pt>
                      <c:pt idx="3">
                        <c:v>42025</c:v>
                      </c:pt>
                      <c:pt idx="4">
                        <c:v>42033</c:v>
                      </c:pt>
                      <c:pt idx="5">
                        <c:v>42036</c:v>
                      </c:pt>
                      <c:pt idx="6">
                        <c:v>42042</c:v>
                      </c:pt>
                      <c:pt idx="7">
                        <c:v>42049</c:v>
                      </c:pt>
                      <c:pt idx="8">
                        <c:v>42053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'лин_ умен.'!$F$2:$F$34</c15:sqref>
                        </c15:fullRef>
                        <c15:formulaRef>
                          <c15:sqref>('лин_ умен.'!$F$2,'лин_ умен.'!$F$6,'лин_ умен.'!$F$11,'лин_ умен.'!$F$15,'лин_ умен.'!$F$21,'лин_ умен.'!$F$25,'лин_ умен.'!$F$28,'лин_ умен.'!$F$31,'лин_ умен.'!$F$34)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22810</c:v>
                      </c:pt>
                      <c:pt idx="1">
                        <c:v>8456</c:v>
                      </c:pt>
                      <c:pt idx="2">
                        <c:v>2401</c:v>
                      </c:pt>
                      <c:pt idx="3">
                        <c:v>3552</c:v>
                      </c:pt>
                      <c:pt idx="4">
                        <c:v>7136</c:v>
                      </c:pt>
                      <c:pt idx="5">
                        <c:v>5532</c:v>
                      </c:pt>
                      <c:pt idx="6">
                        <c:v>19890</c:v>
                      </c:pt>
                      <c:pt idx="7">
                        <c:v>13867</c:v>
                      </c:pt>
                      <c:pt idx="8">
                        <c:v>20250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384-4833-9B02-35E9FE213EE0}"/>
                  </c:ext>
                </c:extLst>
              </c15:ser>
            </c15:filteredLineSeries>
          </c:ext>
        </c:extLst>
      </c:lineChart>
      <c:dateAx>
        <c:axId val="17505659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50589439"/>
        <c:crosses val="autoZero"/>
        <c:auto val="1"/>
        <c:lblOffset val="100"/>
        <c:baseTimeUnit val="days"/>
      </c:dateAx>
      <c:valAx>
        <c:axId val="17505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56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CF3"/>
    </a:solidFill>
    <a:ln w="9525" cap="flat" cmpd="sng" algn="ctr">
      <a:solidFill>
        <a:srgbClr val="DA5536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'лин_ умен.'!$E$1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'лин_ умен.'!$C$2:$C$34</c:f>
              <c:numCache>
                <c:formatCode>m/d/yyyy</c:formatCode>
                <c:ptCount val="33"/>
                <c:pt idx="0">
                  <c:v>42005</c:v>
                </c:pt>
                <c:pt idx="1">
                  <c:v>42006</c:v>
                </c:pt>
                <c:pt idx="2">
                  <c:v>42008</c:v>
                </c:pt>
                <c:pt idx="3">
                  <c:v>42008</c:v>
                </c:pt>
                <c:pt idx="4">
                  <c:v>42011</c:v>
                </c:pt>
                <c:pt idx="5">
                  <c:v>42011</c:v>
                </c:pt>
                <c:pt idx="6">
                  <c:v>42013</c:v>
                </c:pt>
                <c:pt idx="7">
                  <c:v>42014</c:v>
                </c:pt>
                <c:pt idx="8">
                  <c:v>42016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42025</c:v>
                </c:pt>
                <c:pt idx="14">
                  <c:v>42025</c:v>
                </c:pt>
                <c:pt idx="15">
                  <c:v>42027</c:v>
                </c:pt>
                <c:pt idx="16">
                  <c:v>42028</c:v>
                </c:pt>
                <c:pt idx="17">
                  <c:v>42029</c:v>
                </c:pt>
                <c:pt idx="18">
                  <c:v>42030</c:v>
                </c:pt>
                <c:pt idx="19">
                  <c:v>42033</c:v>
                </c:pt>
                <c:pt idx="20">
                  <c:v>42033</c:v>
                </c:pt>
                <c:pt idx="21">
                  <c:v>42034</c:v>
                </c:pt>
                <c:pt idx="22">
                  <c:v>42035</c:v>
                </c:pt>
                <c:pt idx="23">
                  <c:v>42036</c:v>
                </c:pt>
                <c:pt idx="24">
                  <c:v>42038</c:v>
                </c:pt>
                <c:pt idx="25">
                  <c:v>42041</c:v>
                </c:pt>
                <c:pt idx="26">
                  <c:v>42042</c:v>
                </c:pt>
                <c:pt idx="27">
                  <c:v>42043</c:v>
                </c:pt>
                <c:pt idx="28">
                  <c:v>42044</c:v>
                </c:pt>
                <c:pt idx="29">
                  <c:v>42049</c:v>
                </c:pt>
                <c:pt idx="30">
                  <c:v>42051</c:v>
                </c:pt>
                <c:pt idx="31">
                  <c:v>42052</c:v>
                </c:pt>
                <c:pt idx="32">
                  <c:v>42053</c:v>
                </c:pt>
              </c:numCache>
            </c:numRef>
          </c:cat>
          <c:val>
            <c:numRef>
              <c:f>'лин_ умен.'!$E$2:$E$34</c:f>
              <c:numCache>
                <c:formatCode>General</c:formatCode>
                <c:ptCount val="33"/>
                <c:pt idx="0">
                  <c:v>954</c:v>
                </c:pt>
                <c:pt idx="1">
                  <c:v>124</c:v>
                </c:pt>
                <c:pt idx="2">
                  <c:v>425</c:v>
                </c:pt>
                <c:pt idx="3">
                  <c:v>773</c:v>
                </c:pt>
                <c:pt idx="4">
                  <c:v>401</c:v>
                </c:pt>
                <c:pt idx="5">
                  <c:v>1035</c:v>
                </c:pt>
                <c:pt idx="6">
                  <c:v>750</c:v>
                </c:pt>
                <c:pt idx="7">
                  <c:v>901</c:v>
                </c:pt>
                <c:pt idx="8">
                  <c:v>342</c:v>
                </c:pt>
                <c:pt idx="9">
                  <c:v>91</c:v>
                </c:pt>
                <c:pt idx="10">
                  <c:v>547</c:v>
                </c:pt>
                <c:pt idx="11">
                  <c:v>558</c:v>
                </c:pt>
                <c:pt idx="12">
                  <c:v>100</c:v>
                </c:pt>
                <c:pt idx="13">
                  <c:v>250</c:v>
                </c:pt>
                <c:pt idx="14">
                  <c:v>760</c:v>
                </c:pt>
                <c:pt idx="15">
                  <c:v>810</c:v>
                </c:pt>
                <c:pt idx="16">
                  <c:v>606</c:v>
                </c:pt>
                <c:pt idx="17">
                  <c:v>964</c:v>
                </c:pt>
                <c:pt idx="18">
                  <c:v>365</c:v>
                </c:pt>
                <c:pt idx="19">
                  <c:v>389</c:v>
                </c:pt>
                <c:pt idx="20">
                  <c:v>652</c:v>
                </c:pt>
                <c:pt idx="21">
                  <c:v>338</c:v>
                </c:pt>
                <c:pt idx="22">
                  <c:v>766</c:v>
                </c:pt>
                <c:pt idx="23">
                  <c:v>346</c:v>
                </c:pt>
                <c:pt idx="24">
                  <c:v>817</c:v>
                </c:pt>
                <c:pt idx="25">
                  <c:v>902</c:v>
                </c:pt>
                <c:pt idx="26">
                  <c:v>985</c:v>
                </c:pt>
                <c:pt idx="27">
                  <c:v>116</c:v>
                </c:pt>
                <c:pt idx="28">
                  <c:v>330</c:v>
                </c:pt>
                <c:pt idx="29">
                  <c:v>706</c:v>
                </c:pt>
                <c:pt idx="30">
                  <c:v>780</c:v>
                </c:pt>
                <c:pt idx="31">
                  <c:v>624</c:v>
                </c:pt>
                <c:pt idx="32">
                  <c:v>1020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E-42E7-9A45-0C8FF4DDEE74}"/>
            </c:ext>
          </c:extLst>
        </c:ser>
        <c:ser>
          <c:idx val="1"/>
          <c:order val="1"/>
          <c:tx>
            <c:strRef>
              <c:f>'лин_ умен.'!$F$1</c:f>
              <c:strCache>
                <c:ptCount val="1"/>
                <c:pt idx="0">
                  <c:v>Доход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'лин_ умен.'!$C$2:$C$34</c:f>
              <c:numCache>
                <c:formatCode>m/d/yyyy</c:formatCode>
                <c:ptCount val="33"/>
                <c:pt idx="0">
                  <c:v>42005</c:v>
                </c:pt>
                <c:pt idx="1">
                  <c:v>42006</c:v>
                </c:pt>
                <c:pt idx="2">
                  <c:v>42008</c:v>
                </c:pt>
                <c:pt idx="3">
                  <c:v>42008</c:v>
                </c:pt>
                <c:pt idx="4">
                  <c:v>42011</c:v>
                </c:pt>
                <c:pt idx="5">
                  <c:v>42011</c:v>
                </c:pt>
                <c:pt idx="6">
                  <c:v>42013</c:v>
                </c:pt>
                <c:pt idx="7">
                  <c:v>42014</c:v>
                </c:pt>
                <c:pt idx="8">
                  <c:v>42016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42025</c:v>
                </c:pt>
                <c:pt idx="14">
                  <c:v>42025</c:v>
                </c:pt>
                <c:pt idx="15">
                  <c:v>42027</c:v>
                </c:pt>
                <c:pt idx="16">
                  <c:v>42028</c:v>
                </c:pt>
                <c:pt idx="17">
                  <c:v>42029</c:v>
                </c:pt>
                <c:pt idx="18">
                  <c:v>42030</c:v>
                </c:pt>
                <c:pt idx="19">
                  <c:v>42033</c:v>
                </c:pt>
                <c:pt idx="20">
                  <c:v>42033</c:v>
                </c:pt>
                <c:pt idx="21">
                  <c:v>42034</c:v>
                </c:pt>
                <c:pt idx="22">
                  <c:v>42035</c:v>
                </c:pt>
                <c:pt idx="23">
                  <c:v>42036</c:v>
                </c:pt>
                <c:pt idx="24">
                  <c:v>42038</c:v>
                </c:pt>
                <c:pt idx="25">
                  <c:v>42041</c:v>
                </c:pt>
                <c:pt idx="26">
                  <c:v>42042</c:v>
                </c:pt>
                <c:pt idx="27">
                  <c:v>42043</c:v>
                </c:pt>
                <c:pt idx="28">
                  <c:v>42044</c:v>
                </c:pt>
                <c:pt idx="29">
                  <c:v>42049</c:v>
                </c:pt>
                <c:pt idx="30">
                  <c:v>42051</c:v>
                </c:pt>
                <c:pt idx="31">
                  <c:v>42052</c:v>
                </c:pt>
                <c:pt idx="32">
                  <c:v>42053</c:v>
                </c:pt>
              </c:numCache>
            </c:numRef>
          </c:cat>
          <c:val>
            <c:numRef>
              <c:f>'лин_ умен.'!$F$2:$F$34</c:f>
              <c:numCache>
                <c:formatCode>General</c:formatCode>
                <c:ptCount val="33"/>
                <c:pt idx="0">
                  <c:v>22810</c:v>
                </c:pt>
                <c:pt idx="1">
                  <c:v>2257</c:v>
                </c:pt>
                <c:pt idx="2">
                  <c:v>9152</c:v>
                </c:pt>
                <c:pt idx="3">
                  <c:v>18552</c:v>
                </c:pt>
                <c:pt idx="4">
                  <c:v>8456</c:v>
                </c:pt>
                <c:pt idx="5">
                  <c:v>21730</c:v>
                </c:pt>
                <c:pt idx="6">
                  <c:v>16416</c:v>
                </c:pt>
                <c:pt idx="7">
                  <c:v>21438</c:v>
                </c:pt>
                <c:pt idx="8">
                  <c:v>6267</c:v>
                </c:pt>
                <c:pt idx="9">
                  <c:v>2401</c:v>
                </c:pt>
                <c:pt idx="10">
                  <c:v>9345</c:v>
                </c:pt>
                <c:pt idx="11">
                  <c:v>11628</c:v>
                </c:pt>
                <c:pt idx="12">
                  <c:v>2042</c:v>
                </c:pt>
                <c:pt idx="13">
                  <c:v>3552</c:v>
                </c:pt>
                <c:pt idx="14">
                  <c:v>14440</c:v>
                </c:pt>
                <c:pt idx="15">
                  <c:v>14592</c:v>
                </c:pt>
                <c:pt idx="16">
                  <c:v>12606</c:v>
                </c:pt>
                <c:pt idx="17">
                  <c:v>20770</c:v>
                </c:pt>
                <c:pt idx="18">
                  <c:v>8128</c:v>
                </c:pt>
                <c:pt idx="19">
                  <c:v>7136</c:v>
                </c:pt>
                <c:pt idx="20">
                  <c:v>17150</c:v>
                </c:pt>
                <c:pt idx="21">
                  <c:v>6714</c:v>
                </c:pt>
                <c:pt idx="22">
                  <c:v>15640</c:v>
                </c:pt>
                <c:pt idx="23">
                  <c:v>5532</c:v>
                </c:pt>
                <c:pt idx="24">
                  <c:v>17160</c:v>
                </c:pt>
                <c:pt idx="25">
                  <c:v>21708</c:v>
                </c:pt>
                <c:pt idx="26">
                  <c:v>19890</c:v>
                </c:pt>
                <c:pt idx="27">
                  <c:v>1817</c:v>
                </c:pt>
                <c:pt idx="28">
                  <c:v>5157</c:v>
                </c:pt>
                <c:pt idx="29">
                  <c:v>13867</c:v>
                </c:pt>
                <c:pt idx="30">
                  <c:v>16936</c:v>
                </c:pt>
                <c:pt idx="31">
                  <c:v>11430</c:v>
                </c:pt>
                <c:pt idx="32">
                  <c:v>20250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E-42E7-9A45-0C8FF4DDEE74}"/>
            </c:ext>
          </c:extLst>
        </c:ser>
        <c:ser>
          <c:idx val="2"/>
          <c:order val="2"/>
          <c:tx>
            <c:strRef>
              <c:f>'лин_ умен.'!$G$1</c:f>
              <c:strCache>
                <c:ptCount val="1"/>
                <c:pt idx="0">
                  <c:v>Себестоимость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'лин_ умен.'!$C$2:$C$34</c:f>
              <c:numCache>
                <c:formatCode>m/d/yyyy</c:formatCode>
                <c:ptCount val="33"/>
                <c:pt idx="0">
                  <c:v>42005</c:v>
                </c:pt>
                <c:pt idx="1">
                  <c:v>42006</c:v>
                </c:pt>
                <c:pt idx="2">
                  <c:v>42008</c:v>
                </c:pt>
                <c:pt idx="3">
                  <c:v>42008</c:v>
                </c:pt>
                <c:pt idx="4">
                  <c:v>42011</c:v>
                </c:pt>
                <c:pt idx="5">
                  <c:v>42011</c:v>
                </c:pt>
                <c:pt idx="6">
                  <c:v>42013</c:v>
                </c:pt>
                <c:pt idx="7">
                  <c:v>42014</c:v>
                </c:pt>
                <c:pt idx="8">
                  <c:v>42016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42025</c:v>
                </c:pt>
                <c:pt idx="14">
                  <c:v>42025</c:v>
                </c:pt>
                <c:pt idx="15">
                  <c:v>42027</c:v>
                </c:pt>
                <c:pt idx="16">
                  <c:v>42028</c:v>
                </c:pt>
                <c:pt idx="17">
                  <c:v>42029</c:v>
                </c:pt>
                <c:pt idx="18">
                  <c:v>42030</c:v>
                </c:pt>
                <c:pt idx="19">
                  <c:v>42033</c:v>
                </c:pt>
                <c:pt idx="20">
                  <c:v>42033</c:v>
                </c:pt>
                <c:pt idx="21">
                  <c:v>42034</c:v>
                </c:pt>
                <c:pt idx="22">
                  <c:v>42035</c:v>
                </c:pt>
                <c:pt idx="23">
                  <c:v>42036</c:v>
                </c:pt>
                <c:pt idx="24">
                  <c:v>42038</c:v>
                </c:pt>
                <c:pt idx="25">
                  <c:v>42041</c:v>
                </c:pt>
                <c:pt idx="26">
                  <c:v>42042</c:v>
                </c:pt>
                <c:pt idx="27">
                  <c:v>42043</c:v>
                </c:pt>
                <c:pt idx="28">
                  <c:v>42044</c:v>
                </c:pt>
                <c:pt idx="29">
                  <c:v>42049</c:v>
                </c:pt>
                <c:pt idx="30">
                  <c:v>42051</c:v>
                </c:pt>
                <c:pt idx="31">
                  <c:v>42052</c:v>
                </c:pt>
                <c:pt idx="32">
                  <c:v>42053</c:v>
                </c:pt>
              </c:numCache>
            </c:numRef>
          </c:cat>
          <c:val>
            <c:numRef>
              <c:f>'лин_ умен.'!$G$2:$G$34</c:f>
              <c:numCache>
                <c:formatCode>General</c:formatCode>
                <c:ptCount val="33"/>
                <c:pt idx="0">
                  <c:v>10213</c:v>
                </c:pt>
                <c:pt idx="1">
                  <c:v>998</c:v>
                </c:pt>
                <c:pt idx="2">
                  <c:v>4083</c:v>
                </c:pt>
                <c:pt idx="3">
                  <c:v>7883</c:v>
                </c:pt>
                <c:pt idx="4">
                  <c:v>3389</c:v>
                </c:pt>
                <c:pt idx="5">
                  <c:v>9839</c:v>
                </c:pt>
                <c:pt idx="6">
                  <c:v>6768</c:v>
                </c:pt>
                <c:pt idx="7">
                  <c:v>9209</c:v>
                </c:pt>
                <c:pt idx="8">
                  <c:v>2541</c:v>
                </c:pt>
                <c:pt idx="9">
                  <c:v>1031</c:v>
                </c:pt>
                <c:pt idx="10">
                  <c:v>4239</c:v>
                </c:pt>
                <c:pt idx="11">
                  <c:v>5093</c:v>
                </c:pt>
                <c:pt idx="12">
                  <c:v>983</c:v>
                </c:pt>
                <c:pt idx="13">
                  <c:v>1696</c:v>
                </c:pt>
                <c:pt idx="14">
                  <c:v>6790</c:v>
                </c:pt>
                <c:pt idx="15">
                  <c:v>6781</c:v>
                </c:pt>
                <c:pt idx="16">
                  <c:v>5090</c:v>
                </c:pt>
                <c:pt idx="17">
                  <c:v>8463</c:v>
                </c:pt>
                <c:pt idx="18">
                  <c:v>3400</c:v>
                </c:pt>
                <c:pt idx="19">
                  <c:v>3403</c:v>
                </c:pt>
                <c:pt idx="20">
                  <c:v>6888</c:v>
                </c:pt>
                <c:pt idx="21">
                  <c:v>2967</c:v>
                </c:pt>
                <c:pt idx="22">
                  <c:v>6782</c:v>
                </c:pt>
                <c:pt idx="23">
                  <c:v>2541</c:v>
                </c:pt>
                <c:pt idx="24">
                  <c:v>7864</c:v>
                </c:pt>
                <c:pt idx="25">
                  <c:v>8866</c:v>
                </c:pt>
                <c:pt idx="26">
                  <c:v>8467</c:v>
                </c:pt>
                <c:pt idx="27">
                  <c:v>838</c:v>
                </c:pt>
                <c:pt idx="28">
                  <c:v>2554</c:v>
                </c:pt>
                <c:pt idx="29">
                  <c:v>6895</c:v>
                </c:pt>
                <c:pt idx="30">
                  <c:v>8182</c:v>
                </c:pt>
                <c:pt idx="31">
                  <c:v>5095</c:v>
                </c:pt>
                <c:pt idx="32">
                  <c:v>8466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E-42E7-9A45-0C8FF4DDEE74}"/>
            </c:ext>
          </c:extLst>
        </c:ser>
        <c:ser>
          <c:idx val="3"/>
          <c:order val="3"/>
          <c:tx>
            <c:strRef>
              <c:f>'лин_ умен.'!$H$1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'лин_ умен.'!$A$2:$D$34</c15:sqref>
                  </c15:fullRef>
                  <c15:levelRef>
                    <c15:sqref>'лин_ умен.'!$C$2:$C$34</c15:sqref>
                  </c15:levelRef>
                </c:ext>
              </c:extLst>
              <c:f>'лин_ умен.'!$C$2:$C$34</c:f>
              <c:numCache>
                <c:formatCode>m/d/yyyy</c:formatCode>
                <c:ptCount val="33"/>
                <c:pt idx="0">
                  <c:v>42005</c:v>
                </c:pt>
                <c:pt idx="1">
                  <c:v>42006</c:v>
                </c:pt>
                <c:pt idx="2">
                  <c:v>42008</c:v>
                </c:pt>
                <c:pt idx="3">
                  <c:v>42008</c:v>
                </c:pt>
                <c:pt idx="4">
                  <c:v>42011</c:v>
                </c:pt>
                <c:pt idx="5">
                  <c:v>42011</c:v>
                </c:pt>
                <c:pt idx="6">
                  <c:v>42013</c:v>
                </c:pt>
                <c:pt idx="7">
                  <c:v>42014</c:v>
                </c:pt>
                <c:pt idx="8">
                  <c:v>42016</c:v>
                </c:pt>
                <c:pt idx="9">
                  <c:v>42018</c:v>
                </c:pt>
                <c:pt idx="10">
                  <c:v>42019</c:v>
                </c:pt>
                <c:pt idx="11">
                  <c:v>42020</c:v>
                </c:pt>
                <c:pt idx="12">
                  <c:v>42023</c:v>
                </c:pt>
                <c:pt idx="13">
                  <c:v>42025</c:v>
                </c:pt>
                <c:pt idx="14">
                  <c:v>42025</c:v>
                </c:pt>
                <c:pt idx="15">
                  <c:v>42027</c:v>
                </c:pt>
                <c:pt idx="16">
                  <c:v>42028</c:v>
                </c:pt>
                <c:pt idx="17">
                  <c:v>42029</c:v>
                </c:pt>
                <c:pt idx="18">
                  <c:v>42030</c:v>
                </c:pt>
                <c:pt idx="19">
                  <c:v>42033</c:v>
                </c:pt>
                <c:pt idx="20">
                  <c:v>42033</c:v>
                </c:pt>
                <c:pt idx="21">
                  <c:v>42034</c:v>
                </c:pt>
                <c:pt idx="22">
                  <c:v>42035</c:v>
                </c:pt>
                <c:pt idx="23">
                  <c:v>42036</c:v>
                </c:pt>
                <c:pt idx="24">
                  <c:v>42038</c:v>
                </c:pt>
                <c:pt idx="25">
                  <c:v>42041</c:v>
                </c:pt>
                <c:pt idx="26">
                  <c:v>42042</c:v>
                </c:pt>
                <c:pt idx="27">
                  <c:v>42043</c:v>
                </c:pt>
                <c:pt idx="28">
                  <c:v>42044</c:v>
                </c:pt>
                <c:pt idx="29">
                  <c:v>42049</c:v>
                </c:pt>
                <c:pt idx="30">
                  <c:v>42051</c:v>
                </c:pt>
                <c:pt idx="31">
                  <c:v>42052</c:v>
                </c:pt>
                <c:pt idx="32">
                  <c:v>42053</c:v>
                </c:pt>
              </c:numCache>
            </c:numRef>
          </c:cat>
          <c:val>
            <c:numRef>
              <c:f>'лин_ умен.'!$H$2:$H$34</c:f>
              <c:numCache>
                <c:formatCode>General</c:formatCode>
                <c:ptCount val="33"/>
                <c:pt idx="0">
                  <c:v>12597</c:v>
                </c:pt>
                <c:pt idx="1">
                  <c:v>1259</c:v>
                </c:pt>
                <c:pt idx="2">
                  <c:v>5069</c:v>
                </c:pt>
                <c:pt idx="3">
                  <c:v>10669</c:v>
                </c:pt>
                <c:pt idx="4">
                  <c:v>5067</c:v>
                </c:pt>
                <c:pt idx="5">
                  <c:v>11891</c:v>
                </c:pt>
                <c:pt idx="6">
                  <c:v>9648</c:v>
                </c:pt>
                <c:pt idx="7">
                  <c:v>12229</c:v>
                </c:pt>
                <c:pt idx="8">
                  <c:v>3726</c:v>
                </c:pt>
                <c:pt idx="9">
                  <c:v>1370</c:v>
                </c:pt>
                <c:pt idx="10">
                  <c:v>5106</c:v>
                </c:pt>
                <c:pt idx="11">
                  <c:v>6535</c:v>
                </c:pt>
                <c:pt idx="12">
                  <c:v>1059</c:v>
                </c:pt>
                <c:pt idx="13">
                  <c:v>1856</c:v>
                </c:pt>
                <c:pt idx="14">
                  <c:v>7650</c:v>
                </c:pt>
                <c:pt idx="15">
                  <c:v>7811</c:v>
                </c:pt>
                <c:pt idx="16">
                  <c:v>7516</c:v>
                </c:pt>
                <c:pt idx="17">
                  <c:v>12307</c:v>
                </c:pt>
                <c:pt idx="18">
                  <c:v>4728</c:v>
                </c:pt>
                <c:pt idx="19">
                  <c:v>3733</c:v>
                </c:pt>
                <c:pt idx="20">
                  <c:v>10262</c:v>
                </c:pt>
                <c:pt idx="21">
                  <c:v>3747</c:v>
                </c:pt>
                <c:pt idx="22">
                  <c:v>8858</c:v>
                </c:pt>
                <c:pt idx="23">
                  <c:v>2991</c:v>
                </c:pt>
                <c:pt idx="24">
                  <c:v>9296</c:v>
                </c:pt>
                <c:pt idx="25">
                  <c:v>12842</c:v>
                </c:pt>
                <c:pt idx="26">
                  <c:v>11423</c:v>
                </c:pt>
                <c:pt idx="27">
                  <c:v>979</c:v>
                </c:pt>
                <c:pt idx="28">
                  <c:v>2603</c:v>
                </c:pt>
                <c:pt idx="29">
                  <c:v>6972</c:v>
                </c:pt>
                <c:pt idx="30">
                  <c:v>8754</c:v>
                </c:pt>
                <c:pt idx="31">
                  <c:v>6335</c:v>
                </c:pt>
                <c:pt idx="32">
                  <c:v>11784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9E-42E7-9A45-0C8FF4DDE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500399"/>
        <c:axId val="1750489839"/>
      </c:lineChart>
      <c:dateAx>
        <c:axId val="1750500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489839"/>
        <c:crosses val="autoZero"/>
        <c:auto val="1"/>
        <c:lblOffset val="100"/>
        <c:baseTimeUnit val="days"/>
      </c:dateAx>
      <c:valAx>
        <c:axId val="17504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50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Продажи по продуктам  2025 года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2"/>
          <c:order val="12"/>
          <c:tx>
            <c:strRef>
              <c:f>пай!$A$14</c:f>
              <c:strCache>
                <c:ptCount val="1"/>
                <c:pt idx="0">
                  <c:v>итого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9347-49AF-A658-74E855F4C5E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9347-49AF-A658-74E855F4C5E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2-9347-49AF-A658-74E855F4C5ED}"/>
              </c:ext>
            </c:extLst>
          </c:dPt>
          <c:dLbls>
            <c:dLbl>
              <c:idx val="0"/>
              <c:layout>
                <c:manualLayout>
                  <c:x val="-9.6692111959287619E-2"/>
                  <c:y val="-0.11252494849031798"/>
                </c:manualLayout>
              </c:layout>
              <c:spPr>
                <a:solidFill>
                  <a:sysClr val="window" lastClr="FFFFFF">
                    <a:alpha val="7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8640"/>
                        <a:gd name="adj2" fmla="val 153520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51-9347-49AF-A658-74E855F4C5ED}"/>
                </c:ext>
              </c:extLst>
            </c:dLbl>
            <c:dLbl>
              <c:idx val="1"/>
              <c:layout>
                <c:manualLayout>
                  <c:x val="2.0356234096692113E-2"/>
                  <c:y val="-0.10650279900451169"/>
                </c:manualLayout>
              </c:layout>
              <c:spPr>
                <a:solidFill>
                  <a:sysClr val="window" lastClr="FFFFFF">
                    <a:alpha val="7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47494"/>
                        <a:gd name="adj2" fmla="val -105557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53-9347-49AF-A658-74E855F4C5ED}"/>
                </c:ext>
              </c:extLst>
            </c:dLbl>
            <c:dLbl>
              <c:idx val="2"/>
              <c:layout>
                <c:manualLayout>
                  <c:x val="-3.5623409669211216E-2"/>
                  <c:y val="-2.0774496611391885E-2"/>
                </c:manualLayout>
              </c:layout>
              <c:spPr>
                <a:solidFill>
                  <a:sysClr val="window" lastClr="FFFFFF">
                    <a:alpha val="75000"/>
                  </a:sys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2007"/>
                        <a:gd name="adj2" fmla="val 91113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52-9347-49AF-A658-74E855F4C5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пай!$B$1:$F$1</c15:sqref>
                  </c15:fullRef>
                </c:ext>
              </c:extLst>
              <c:f>пай!$B$1:$D$1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пай!$B$14:$F$14</c15:sqref>
                  </c15:fullRef>
                </c:ext>
              </c:extLst>
              <c:f>пай!$B$14:$D$14</c:f>
              <c:numCache>
                <c:formatCode>General</c:formatCode>
                <c:ptCount val="3"/>
                <c:pt idx="0">
                  <c:v>1000</c:v>
                </c:pt>
                <c:pt idx="1">
                  <c:v>690</c:v>
                </c:pt>
                <c:pt idx="2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9347-49AF-A658-74E855F4C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пай!$A$2</c15:sqref>
                        </c15:formulaRef>
                      </c:ext>
                    </c:extLst>
                    <c:strCache>
                      <c:ptCount val="1"/>
                      <c:pt idx="0">
                        <c:v>Январь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9347-49AF-A658-74E855F4C5ED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9347-49AF-A658-74E855F4C5ED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B-9347-49AF-A658-74E855F4C5ED}"/>
                    </c:ext>
                  </c:extLst>
                </c:dPt>
                <c:dLbls>
                  <c:dLbl>
                    <c:idx val="2"/>
                    <c:spPr>
                      <a:solidFill>
                        <a:sysClr val="window" lastClr="FFFFFF">
                          <a:alpha val="75000"/>
                        </a:sysClr>
                      </a:solidFill>
                      <a:ln w="9525" cap="flat" cmpd="sng" algn="ctr"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  <a:extLst>
                          <a:ext uri="{C807C97D-BFC1-408E-A445-0C87EB9F89A2}">
                            <ask:lineSketchStyleProps xmlns:ask="http://schemas.microsoft.com/office/drawing/2018/sketchyshapes" sd="0">
                              <a:custGeom>
                                <a:avLst/>
                                <a:gdLst/>
                                <a:ahLst/>
                                <a:cxnLst/>
                                <a:rect l="0" t="0" r="0" b="0"/>
                                <a:pathLst/>
                              </a:custGeom>
                              <ask:type/>
                            </ask:lineSketchStyleProps>
                          </a:ext>
                        </a:extLst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ru-RU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>
                              <a:gd name="adj1" fmla="val -102933"/>
                              <a:gd name="adj2" fmla="val 169349"/>
                            </a:avLst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0B-9347-49AF-A658-74E855F4C5ED}"/>
                      </c:ext>
                    </c:extLst>
                  </c:dLbl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пай!$B$2:$F$2</c15:sqref>
                        </c15:fullRef>
                        <c15:formulaRef>
                          <c15:sqref>пай!$B$2:$D$2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50</c:v>
                      </c:pt>
                      <c:pt idx="1">
                        <c:v>40</c:v>
                      </c:pt>
                      <c:pt idx="2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336-4CE6-9925-80E268F5555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пай!$A$3</c15:sqref>
                        </c15:formulaRef>
                      </c:ext>
                    </c:extLst>
                    <c:strCache>
                      <c:ptCount val="1"/>
                      <c:pt idx="0">
                        <c:v>Февраль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9347-49AF-A658-74E855F4C5ED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9347-49AF-A658-74E855F4C5ED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347-49AF-A658-74E855F4C5ED}"/>
                    </c:ext>
                  </c:extLst>
                </c:dPt>
                <c:dLbls>
                  <c:dLbl>
                    <c:idx val="2"/>
                    <c:spPr>
                      <a:solidFill>
                        <a:sysClr val="window" lastClr="FFFFFF">
                          <a:alpha val="75000"/>
                        </a:sysClr>
                      </a:solidFill>
                      <a:ln w="9525" cap="flat" cmpd="sng" algn="ctr"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  <a:extLst>
                          <a:ext uri="{C807C97D-BFC1-408E-A445-0C87EB9F89A2}">
                            <ask:lineSketchStyleProps xmlns:ask="http://schemas.microsoft.com/office/drawing/2018/sketchyshapes" sd="0">
                              <a:custGeom>
                                <a:avLst/>
                                <a:gdLst/>
                                <a:ahLst/>
                                <a:cxnLst/>
                                <a:rect l="0" t="0" r="0" b="0"/>
                                <a:pathLst/>
                              </a:custGeom>
                              <ask:type/>
                            </ask:lineSketchStyleProps>
                          </a:ext>
                        </a:extLst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ru-RU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wedgeRectCallout">
                            <a:avLst>
                              <a:gd name="adj1" fmla="val 53601"/>
                              <a:gd name="adj2" fmla="val -195096"/>
                            </a:avLst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11-9347-49AF-A658-74E855F4C5ED}"/>
                      </c:ext>
                    </c:extLst>
                  </c:dLbl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пай!$B$3:$F$3</c15:sqref>
                        </c15:fullRef>
                        <c15:formulaRef>
                          <c15:sqref>пай!$B$3:$D$3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60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336-4CE6-9925-80E268F5555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пай!$A$4</c15:sqref>
                        </c15:formulaRef>
                      </c:ext>
                    </c:extLst>
                    <c:strCache>
                      <c:ptCount val="1"/>
                      <c:pt idx="0">
                        <c:v>Март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2336-4CE6-9925-80E268F5555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E-2336-4CE6-9925-80E268F5555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2336-4CE6-9925-80E268F55550}"/>
                    </c:ext>
                  </c:extLst>
                </c:dPt>
                <c:dLbls>
                  <c:dLbl>
                    <c:idx val="2"/>
                    <c:spPr>
                      <a:solidFill>
                        <a:sysClr val="window" lastClr="FFFFFF">
                          <a:alpha val="75000"/>
                        </a:sysClr>
                      </a:solidFill>
                      <a:ln w="9525" cap="flat" cmpd="sng" algn="ctr"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  <a:extLst>
                          <a:ext uri="{C807C97D-BFC1-408E-A445-0C87EB9F89A2}">
                            <ask:lineSketchStyleProps xmlns:ask="http://schemas.microsoft.com/office/drawing/2018/sketchyshapes" sd="0">
                              <a:custGeom>
                                <a:avLst/>
                                <a:gdLst/>
                                <a:ahLst/>
                                <a:cxnLst/>
                                <a:rect l="0" t="0" r="0" b="0"/>
                                <a:pathLst/>
                              </a:custGeom>
                              <ask:type/>
                            </ask:lineSketchStyleProps>
                          </a:ext>
                        </a:extLst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dk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ru-RU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wedgeRectCallout">
                            <a:avLst>
                              <a:gd name="adj1" fmla="val 88918"/>
                              <a:gd name="adj2" fmla="val 166707"/>
                            </a:avLst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0D-2336-4CE6-9925-80E268F55550}"/>
                      </c:ext>
                    </c:extLst>
                  </c:dLbl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пай!$B$4:$F$4</c15:sqref>
                        </c15:fullRef>
                        <c15:formulaRef>
                          <c15:sqref>пай!$B$4:$D$4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70</c:v>
                      </c:pt>
                      <c:pt idx="1">
                        <c:v>50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336-4CE6-9925-80E268F55550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пай!$A$5</c15:sqref>
                        </c15:formulaRef>
                      </c:ext>
                    </c:extLst>
                    <c:strCache>
                      <c:ptCount val="1"/>
                      <c:pt idx="0">
                        <c:v>Апрель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347-49AF-A658-74E855F4C5ED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347-49AF-A658-74E855F4C5ED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347-49AF-A658-74E855F4C5ED}"/>
                    </c:ext>
                  </c:extLst>
                </c:dPt>
                <c:dLbls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пай!$B$5:$F$5</c15:sqref>
                        </c15:fullRef>
                        <c15:formulaRef>
                          <c15:sqref>пай!$B$5:$D$5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336-4CE6-9925-80E268F55550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пай!$A$6</c15:sqref>
                        </c15:formulaRef>
                      </c:ext>
                    </c:extLst>
                    <c:strCache>
                      <c:ptCount val="1"/>
                      <c:pt idx="0">
                        <c:v>Май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347-49AF-A658-74E855F4C5ED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9347-49AF-A658-74E855F4C5ED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9347-49AF-A658-74E855F4C5ED}"/>
                    </c:ext>
                  </c:extLst>
                </c:dPt>
                <c:dLbls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пай!$B$6:$F$6</c15:sqref>
                        </c15:fullRef>
                        <c15:formulaRef>
                          <c15:sqref>пай!$B$6:$D$6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75</c:v>
                      </c:pt>
                      <c:pt idx="1">
                        <c:v>50</c:v>
                      </c:pt>
                      <c:pt idx="2">
                        <c:v>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336-4CE6-9925-80E268F55550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пай!$A$7</c15:sqref>
                        </c15:formulaRef>
                      </c:ext>
                    </c:extLst>
                    <c:strCache>
                      <c:ptCount val="1"/>
                      <c:pt idx="0">
                        <c:v>Июнь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пай!$B$7:$F$7</c15:sqref>
                        </c15:fullRef>
                        <c15:formulaRef>
                          <c15:sqref>пай!$B$7:$D$7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80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9347-49AF-A658-74E855F4C5ED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пай!$A$8</c15:sqref>
                        </c15:formulaRef>
                      </c:ext>
                    </c:extLst>
                    <c:strCache>
                      <c:ptCount val="1"/>
                      <c:pt idx="0">
                        <c:v>Июль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пай!$B$8:$F$8</c15:sqref>
                        </c15:fullRef>
                        <c15:formulaRef>
                          <c15:sqref>пай!$B$8:$D$8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90</c:v>
                      </c:pt>
                      <c:pt idx="1">
                        <c:v>60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9347-49AF-A658-74E855F4C5ED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пай!$A$9</c15:sqref>
                        </c15:formulaRef>
                      </c:ext>
                    </c:extLst>
                    <c:strCache>
                      <c:ptCount val="1"/>
                      <c:pt idx="0">
                        <c:v>Август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пай!$B$9:$F$9</c15:sqref>
                        </c15:fullRef>
                        <c15:formulaRef>
                          <c15:sqref>пай!$B$9:$D$9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85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9347-49AF-A658-74E855F4C5ED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пай!$A$10</c15:sqref>
                        </c15:formulaRef>
                      </c:ext>
                    </c:extLst>
                    <c:strCache>
                      <c:ptCount val="1"/>
                      <c:pt idx="0">
                        <c:v>Сентябрь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пай!$B$10:$F$10</c15:sqref>
                        </c15:fullRef>
                        <c15:formulaRef>
                          <c15:sqref>пай!$B$10:$D$10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95</c:v>
                      </c:pt>
                      <c:pt idx="1">
                        <c:v>65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9347-49AF-A658-74E855F4C5ED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пай!$A$11</c15:sqref>
                        </c15:formulaRef>
                      </c:ext>
                    </c:extLst>
                    <c:strCache>
                      <c:ptCount val="1"/>
                      <c:pt idx="0">
                        <c:v>Октябрь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пай!$B$11:$F$11</c15:sqref>
                        </c15:fullRef>
                        <c15:formulaRef>
                          <c15:sqref>пай!$B$11:$D$11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</c:v>
                      </c:pt>
                      <c:pt idx="1">
                        <c:v>70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9347-49AF-A658-74E855F4C5ED}"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пай!$A$12</c15:sqref>
                        </c15:formulaRef>
                      </c:ext>
                    </c:extLst>
                    <c:strCache>
                      <c:ptCount val="1"/>
                      <c:pt idx="0">
                        <c:v>Ноябрь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пай!$B$12:$F$12</c15:sqref>
                        </c15:fullRef>
                        <c15:formulaRef>
                          <c15:sqref>пай!$B$12:$D$12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</c:v>
                      </c:pt>
                      <c:pt idx="1">
                        <c:v>75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9347-49AF-A658-74E855F4C5ED}"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пай!$A$13</c15:sqref>
                        </c15:formulaRef>
                      </c:ext>
                    </c:extLst>
                    <c:strCache>
                      <c:ptCount val="1"/>
                      <c:pt idx="0">
                        <c:v>Декабрь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4716-41C4-8B01-48E873164AA0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  <a:gs pos="0">
                          <a:schemeClr val="accent2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4716-41C4-8B01-48E873164AA0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50800">
                      <a:solidFill>
                        <a:schemeClr val="lt1"/>
                      </a:solidFill>
                    </a:ln>
                    <a:effectLst/>
                    <a:sp3d contourW="50800">
                      <a:contourClr>
                        <a:schemeClr val="lt1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4716-41C4-8B01-48E873164AA0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пай!$B$1:$F$1</c15:sqref>
                        </c15:fullRef>
                        <c15:formulaRef>
                          <c15:sqref>пай!$B$1:$D$1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пай!$B$13:$F$13</c15:sqref>
                        </c15:fullRef>
                        <c15:formulaRef>
                          <c15:sqref>пай!$B$13:$D$13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120</c:v>
                      </c:pt>
                      <c:pt idx="1">
                        <c:v>80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9347-49AF-A658-74E855F4C5ED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Объем продаж и реклама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рассеивание!$B$1</c:f>
              <c:strCache>
                <c:ptCount val="1"/>
                <c:pt idx="0">
                  <c:v>Объем продаж (тыс. руб.)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рассеивание!$A$2:$A$35</c:f>
              <c:numCache>
                <c:formatCode>General</c:formatCode>
                <c:ptCount val="34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19</c:v>
                </c:pt>
                <c:pt idx="8">
                  <c:v>22</c:v>
                </c:pt>
                <c:pt idx="9">
                  <c:v>21</c:v>
                </c:pt>
                <c:pt idx="10">
                  <c:v>24</c:v>
                </c:pt>
                <c:pt idx="11">
                  <c:v>23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</c:numCache>
            </c:numRef>
          </c:xVal>
          <c:yVal>
            <c:numRef>
              <c:f>рассеивание!$B$2:$B$35</c:f>
              <c:numCache>
                <c:formatCode>General</c:formatCode>
                <c:ptCount val="34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140</c:v>
                </c:pt>
                <c:pt idx="4">
                  <c:v>160</c:v>
                </c:pt>
                <c:pt idx="5">
                  <c:v>175</c:v>
                </c:pt>
                <c:pt idx="6">
                  <c:v>190</c:v>
                </c:pt>
                <c:pt idx="7">
                  <c:v>180</c:v>
                </c:pt>
                <c:pt idx="8">
                  <c:v>200</c:v>
                </c:pt>
                <c:pt idx="9">
                  <c:v>210</c:v>
                </c:pt>
                <c:pt idx="10">
                  <c:v>225</c:v>
                </c:pt>
                <c:pt idx="11">
                  <c:v>245</c:v>
                </c:pt>
                <c:pt idx="12">
                  <c:v>251</c:v>
                </c:pt>
                <c:pt idx="13">
                  <c:v>253</c:v>
                </c:pt>
                <c:pt idx="14">
                  <c:v>255</c:v>
                </c:pt>
                <c:pt idx="15">
                  <c:v>257</c:v>
                </c:pt>
                <c:pt idx="16">
                  <c:v>259</c:v>
                </c:pt>
                <c:pt idx="17">
                  <c:v>261</c:v>
                </c:pt>
                <c:pt idx="18">
                  <c:v>263</c:v>
                </c:pt>
                <c:pt idx="19">
                  <c:v>265</c:v>
                </c:pt>
                <c:pt idx="20">
                  <c:v>267</c:v>
                </c:pt>
                <c:pt idx="21">
                  <c:v>269</c:v>
                </c:pt>
                <c:pt idx="22">
                  <c:v>271</c:v>
                </c:pt>
                <c:pt idx="23">
                  <c:v>239</c:v>
                </c:pt>
                <c:pt idx="24">
                  <c:v>233</c:v>
                </c:pt>
                <c:pt idx="25">
                  <c:v>227</c:v>
                </c:pt>
                <c:pt idx="26">
                  <c:v>221</c:v>
                </c:pt>
                <c:pt idx="27">
                  <c:v>215</c:v>
                </c:pt>
                <c:pt idx="28">
                  <c:v>209</c:v>
                </c:pt>
                <c:pt idx="29">
                  <c:v>203</c:v>
                </c:pt>
                <c:pt idx="30">
                  <c:v>197</c:v>
                </c:pt>
                <c:pt idx="31">
                  <c:v>191</c:v>
                </c:pt>
                <c:pt idx="32">
                  <c:v>185</c:v>
                </c:pt>
                <c:pt idx="33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7-477A-9360-8FD49264D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776831"/>
        <c:axId val="269776351"/>
      </c:scatterChart>
      <c:valAx>
        <c:axId val="26977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Реклама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776351"/>
        <c:crosses val="autoZero"/>
        <c:crossBetween val="midCat"/>
      </c:valAx>
      <c:valAx>
        <c:axId val="2697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обЪем продаж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77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ln>
                  <a:noFill/>
                </a:ln>
                <a:solidFill>
                  <a:schemeClr val="accent2">
                    <a:lumMod val="7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>
                <a:ln>
                  <a:noFill/>
                </a:ln>
                <a:solidFill>
                  <a:schemeClr val="accent2">
                    <a:lumMod val="7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Arial Black" panose="020B0A04020102020204" pitchFamily="34" charset="0"/>
              </a:rPr>
              <a:t>распределение по месяцам</a:t>
            </a:r>
          </a:p>
          <a:p>
            <a:pPr>
              <a:defRPr>
                <a:ln>
                  <a:noFill/>
                </a:ln>
                <a:solidFill>
                  <a:schemeClr val="accent2">
                    <a:lumMod val="7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</a:defRPr>
            </a:pPr>
            <a:r>
              <a:rPr lang="ru-RU" sz="1600">
                <a:ln>
                  <a:noFill/>
                </a:ln>
                <a:solidFill>
                  <a:schemeClr val="accent2">
                    <a:lumMod val="7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Arial Black" panose="020B0A04020102020204" pitchFamily="34" charset="0"/>
              </a:rPr>
              <a:t> продукта А</a:t>
            </a:r>
          </a:p>
        </c:rich>
      </c:tx>
      <c:layout>
        <c:manualLayout>
          <c:xMode val="edge"/>
          <c:yMode val="edge"/>
          <c:x val="0.25861405911217622"/>
          <c:y val="4.260984757193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ln>
                <a:noFill/>
              </a:ln>
              <a:solidFill>
                <a:schemeClr val="accent2">
                  <a:lumMod val="75000"/>
                </a:schemeClr>
              </a:solidFill>
              <a:effectLst>
                <a:outerShdw dist="50800" sx="1000" sy="1000" algn="ctr" rotWithShape="0">
                  <a:srgbClr val="000000"/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697706264977745E-2"/>
          <c:y val="2.1944071499547899E-2"/>
          <c:w val="0.94730229373502228"/>
          <c:h val="0.8144575995669676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столбчатая!$B$1</c:f>
              <c:strCache>
                <c:ptCount val="1"/>
                <c:pt idx="0">
                  <c:v>Продукт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столбчатая!$B$2:$B$14</c15:sqref>
                  </c15:fullRef>
                </c:ext>
              </c:extLst>
              <c:f>столбчатая!$B$2:$B$13</c:f>
              <c:numCache>
                <c:formatCode>General</c:formatCode>
                <c:ptCount val="12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65</c:v>
                </c:pt>
                <c:pt idx="4">
                  <c:v>75</c:v>
                </c:pt>
                <c:pt idx="5">
                  <c:v>80</c:v>
                </c:pt>
                <c:pt idx="6">
                  <c:v>90</c:v>
                </c:pt>
                <c:pt idx="7">
                  <c:v>85</c:v>
                </c:pt>
                <c:pt idx="8">
                  <c:v>95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столбчатая!$A$2:$A$14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B8C-49EC-8649-9C686934BB68}"/>
            </c:ext>
          </c:extLst>
        </c:ser>
        <c:ser>
          <c:idx val="1"/>
          <c:order val="1"/>
          <c:tx>
            <c:strRef>
              <c:f>столбчатая!$C$1</c:f>
              <c:strCache>
                <c:ptCount val="1"/>
                <c:pt idx="0">
                  <c:v>Продукт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столбчатая!$C$2:$C$14</c15:sqref>
                  </c15:fullRef>
                </c:ext>
              </c:extLst>
              <c:f>столбчатая!$C$2:$C$13</c:f>
              <c:numCache>
                <c:formatCode>General</c:formatCode>
                <c:ptCount val="12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55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столбчатая!$A$2:$A$14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B8C-49EC-8649-9C686934BB68}"/>
            </c:ext>
          </c:extLst>
        </c:ser>
        <c:ser>
          <c:idx val="2"/>
          <c:order val="2"/>
          <c:tx>
            <c:strRef>
              <c:f>столбчатая!$D$1</c:f>
              <c:strCache>
                <c:ptCount val="1"/>
                <c:pt idx="0">
                  <c:v>Продукт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столбчатая!$D$2:$D$14</c15:sqref>
                  </c15:fullRef>
                </c:ext>
              </c:extLst>
              <c:f>столбчатая!$D$2:$D$13</c:f>
              <c:numCache>
                <c:formatCode>General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столбчатая!$A$2:$A$14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B8C-49EC-8649-9C686934B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568415"/>
        <c:axId val="703547295"/>
        <c:axId val="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столбчатая!$E$1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4">
                        <a:shade val="95000"/>
                      </a:schemeClr>
                    </a:contourClr>
                  </a:sp3d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столбчатая!$E$2:$E$14</c15:sqref>
                        </c15:fullRef>
                        <c15:formulaRef>
                          <c15:sqref>столбчатая!$E$2:$E$13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135</c:v>
                      </c:pt>
                      <c:pt idx="2">
                        <c:v>150</c:v>
                      </c:pt>
                      <c:pt idx="3">
                        <c:v>140</c:v>
                      </c:pt>
                      <c:pt idx="4">
                        <c:v>160</c:v>
                      </c:pt>
                      <c:pt idx="5">
                        <c:v>175</c:v>
                      </c:pt>
                      <c:pt idx="6">
                        <c:v>190</c:v>
                      </c:pt>
                      <c:pt idx="7">
                        <c:v>180</c:v>
                      </c:pt>
                      <c:pt idx="8">
                        <c:v>200</c:v>
                      </c:pt>
                      <c:pt idx="9">
                        <c:v>210</c:v>
                      </c:pt>
                      <c:pt idx="10">
                        <c:v>225</c:v>
                      </c:pt>
                      <c:pt idx="11">
                        <c:v>240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strRef>
                          <c:extLst>
                            <c:ext uri="{02D57815-91ED-43cb-92C2-25804820EDAC}">
                              <c15:formulaRef>
                                <c15:sqref>столбчатая!$A$2:$A$14</c15:sqref>
                              </c15:formulaRef>
                            </c:ext>
                          </c:extLst>
                          <c:strCache>
                            <c:ptCount val="12"/>
                            <c:pt idx="0">
                              <c:v>Январь</c:v>
                            </c:pt>
                            <c:pt idx="1">
                              <c:v>Февраль</c:v>
                            </c:pt>
                            <c:pt idx="2">
                              <c:v>Март</c:v>
                            </c:pt>
                            <c:pt idx="3">
                              <c:v>Апрель</c:v>
                            </c:pt>
                            <c:pt idx="4">
                              <c:v>Май</c:v>
                            </c:pt>
                            <c:pt idx="5">
                              <c:v>Июнь</c:v>
                            </c:pt>
                            <c:pt idx="6">
                              <c:v>Июль</c:v>
                            </c:pt>
                            <c:pt idx="7">
                              <c:v>Август</c:v>
                            </c:pt>
                            <c:pt idx="8">
                              <c:v>Сентябрь</c:v>
                            </c:pt>
                            <c:pt idx="9">
                              <c:v>Октябрь</c:v>
                            </c:pt>
                            <c:pt idx="10">
                              <c:v>Ноябрь</c:v>
                            </c:pt>
                            <c:pt idx="11">
                              <c:v>Декабрь</c:v>
                            </c:pt>
                          </c:strCache>
                        </c: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DB8C-49EC-8649-9C686934BB6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столбчатая!$F$1</c15:sqref>
                        </c15:formulaRef>
                      </c:ext>
                    </c:extLst>
                    <c:strCache>
                      <c:ptCount val="1"/>
                      <c:pt idx="0">
                        <c:v>доля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5">
                        <a:shade val="95000"/>
                      </a:schemeClr>
                    </a:contourClr>
                  </a:sp3d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столбчатая!$F$2:$F$14</c15:sqref>
                        </c15:fullRef>
                        <c15:formulaRef>
                          <c15:sqref>столбчатая!$F$2:$F$13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5.647058823529412E-2</c:v>
                      </c:pt>
                      <c:pt idx="1">
                        <c:v>6.3529411764705876E-2</c:v>
                      </c:pt>
                      <c:pt idx="2">
                        <c:v>7.0588235294117646E-2</c:v>
                      </c:pt>
                      <c:pt idx="3">
                        <c:v>6.5882352941176475E-2</c:v>
                      </c:pt>
                      <c:pt idx="4">
                        <c:v>7.5294117647058817E-2</c:v>
                      </c:pt>
                      <c:pt idx="5">
                        <c:v>8.2352941176470587E-2</c:v>
                      </c:pt>
                      <c:pt idx="6">
                        <c:v>8.9411764705882357E-2</c:v>
                      </c:pt>
                      <c:pt idx="7">
                        <c:v>8.4705882352941173E-2</c:v>
                      </c:pt>
                      <c:pt idx="8">
                        <c:v>9.4117647058823528E-2</c:v>
                      </c:pt>
                      <c:pt idx="9">
                        <c:v>9.8823529411764699E-2</c:v>
                      </c:pt>
                      <c:pt idx="10">
                        <c:v>0.10588235294117647</c:v>
                      </c:pt>
                      <c:pt idx="11">
                        <c:v>0.11294117647058824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strRef>
                          <c:extLst>
                            <c:ext uri="{02D57815-91ED-43cb-92C2-25804820EDAC}">
                              <c15:formulaRef>
                                <c15:sqref>столбчатая!$A$2:$A$14</c15:sqref>
                              </c15:formulaRef>
                            </c:ext>
                          </c:extLst>
                          <c:strCache>
                            <c:ptCount val="12"/>
                            <c:pt idx="0">
                              <c:v>Январь</c:v>
                            </c:pt>
                            <c:pt idx="1">
                              <c:v>Февраль</c:v>
                            </c:pt>
                            <c:pt idx="2">
                              <c:v>Март</c:v>
                            </c:pt>
                            <c:pt idx="3">
                              <c:v>Апрель</c:v>
                            </c:pt>
                            <c:pt idx="4">
                              <c:v>Май</c:v>
                            </c:pt>
                            <c:pt idx="5">
                              <c:v>Июнь</c:v>
                            </c:pt>
                            <c:pt idx="6">
                              <c:v>Июль</c:v>
                            </c:pt>
                            <c:pt idx="7">
                              <c:v>Август</c:v>
                            </c:pt>
                            <c:pt idx="8">
                              <c:v>Сентябрь</c:v>
                            </c:pt>
                            <c:pt idx="9">
                              <c:v>Октябрь</c:v>
                            </c:pt>
                            <c:pt idx="10">
                              <c:v>Ноябрь</c:v>
                            </c:pt>
                            <c:pt idx="11">
                              <c:v>Декабрь</c:v>
                            </c:pt>
                          </c:strCache>
                        </c: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DB8C-49EC-8649-9C686934BB68}"/>
                  </c:ext>
                </c:extLst>
              </c15:ser>
            </c15:filteredBarSeries>
          </c:ext>
        </c:extLst>
      </c:bar3DChart>
      <c:catAx>
        <c:axId val="70356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547295"/>
        <c:crosses val="autoZero"/>
        <c:auto val="1"/>
        <c:lblAlgn val="ctr"/>
        <c:lblOffset val="100"/>
        <c:noMultiLvlLbl val="0"/>
      </c:catAx>
      <c:valAx>
        <c:axId val="7035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56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2"/>
          <c:order val="1"/>
          <c:tx>
            <c:strRef>
              <c:f>'от группировки'!$A$4</c:f>
              <c:strCache>
                <c:ptCount val="1"/>
                <c:pt idx="0">
                  <c:v>Продукт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'от группировки'!$B$1:$R$1</c:f>
              <c:strCache>
                <c:ptCount val="1"/>
                <c:pt idx="0">
                  <c:v>итого</c:v>
                </c:pt>
              </c:strCache>
            </c:strRef>
          </c:cat>
          <c:val>
            <c:numRef>
              <c:f>'от группировки'!$B$4:$R$4</c:f>
              <c:numCache>
                <c:formatCode>General</c:formatCode>
                <c:ptCount val="1"/>
                <c:pt idx="0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1A-4FA7-9D40-7131CBA14714}"/>
            </c:ext>
          </c:extLst>
        </c:ser>
        <c:ser>
          <c:idx val="1"/>
          <c:order val="2"/>
          <c:tx>
            <c:strRef>
              <c:f>'от группировки'!$A$3</c:f>
              <c:strCache>
                <c:ptCount val="1"/>
                <c:pt idx="0">
                  <c:v>Продукт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'от группировки'!$B$1:$R$1</c:f>
              <c:strCache>
                <c:ptCount val="1"/>
                <c:pt idx="0">
                  <c:v>итого</c:v>
                </c:pt>
              </c:strCache>
            </c:strRef>
          </c:cat>
          <c:val>
            <c:numRef>
              <c:f>'от группировки'!$B$3:$R$3</c:f>
              <c:numCache>
                <c:formatCode>General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A-4FA7-9D40-7131CBA14714}"/>
            </c:ext>
          </c:extLst>
        </c:ser>
        <c:ser>
          <c:idx val="0"/>
          <c:order val="3"/>
          <c:tx>
            <c:strRef>
              <c:f>'от группировки'!$A$2</c:f>
              <c:strCache>
                <c:ptCount val="1"/>
                <c:pt idx="0">
                  <c:v>Продукт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'от группировки'!$B$1:$R$1</c:f>
              <c:strCache>
                <c:ptCount val="1"/>
                <c:pt idx="0">
                  <c:v>итого</c:v>
                </c:pt>
              </c:strCache>
            </c:strRef>
          </c:cat>
          <c:val>
            <c:numRef>
              <c:f>'от группировки'!$B$2:$R$2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A-4FA7-9D40-7131CBA147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7829519"/>
        <c:axId val="97829999"/>
        <c:axId val="88677726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'от группировки'!$A$5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'от группировки'!$B$1:$R$1</c15:sqref>
                        </c15:formulaRef>
                      </c:ext>
                    </c:extLst>
                    <c:strCache>
                      <c:ptCount val="1"/>
                      <c:pt idx="0">
                        <c:v>итого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'от группировки'!$B$5:$R$5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91A-4FA7-9D40-7131CBA14714}"/>
                  </c:ext>
                </c:extLst>
              </c15:ser>
            </c15:filteredBarSeries>
          </c:ext>
        </c:extLst>
      </c:bar3DChart>
      <c:catAx>
        <c:axId val="9782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29999"/>
        <c:crosses val="autoZero"/>
        <c:auto val="1"/>
        <c:lblAlgn val="ctr"/>
        <c:lblOffset val="100"/>
        <c:noMultiLvlLbl val="0"/>
      </c:catAx>
      <c:valAx>
        <c:axId val="978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29519"/>
        <c:crosses val="autoZero"/>
        <c:crossBetween val="between"/>
      </c:valAx>
      <c:serAx>
        <c:axId val="88677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2999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1 квартал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созд_шаблона!$A$2</c:f>
              <c:strCache>
                <c:ptCount val="1"/>
                <c:pt idx="0">
                  <c:v>Январь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созд_шаблона!$B$2:$F$2</c15:sqref>
                  </c15:fullRef>
                </c:ext>
              </c:extLst>
              <c:f>созд_шаблона!$B$2:$D$2</c:f>
              <c:numCache>
                <c:formatCode>General</c:formatCode>
                <c:ptCount val="3"/>
                <c:pt idx="0">
                  <c:v>50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8-41E8-B80E-F5582B71B2DB}"/>
            </c:ext>
          </c:extLst>
        </c:ser>
        <c:ser>
          <c:idx val="1"/>
          <c:order val="1"/>
          <c:tx>
            <c:strRef>
              <c:f>созд_шаблона!$A$3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созд_шаблона!$B$3:$F$3</c15:sqref>
                  </c15:fullRef>
                </c:ext>
              </c:extLst>
              <c:f>созд_шаблона!$B$3:$D$3</c:f>
              <c:numCache>
                <c:formatCode>General</c:formatCode>
                <c:ptCount val="3"/>
                <c:pt idx="0">
                  <c:v>60</c:v>
                </c:pt>
                <c:pt idx="1">
                  <c:v>45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8-41E8-B80E-F5582B71B2DB}"/>
            </c:ext>
          </c:extLst>
        </c:ser>
        <c:ser>
          <c:idx val="2"/>
          <c:order val="2"/>
          <c:tx>
            <c:strRef>
              <c:f>созд_шаблона!$A$4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созд_шаблона!$B$4:$F$4</c15:sqref>
                  </c15:fullRef>
                </c:ext>
              </c:extLst>
              <c:f>созд_шаблона!$B$4:$D$4</c:f>
              <c:numCache>
                <c:formatCode>General</c:formatCode>
                <c:ptCount val="3"/>
                <c:pt idx="0">
                  <c:v>70</c:v>
                </c:pt>
                <c:pt idx="1">
                  <c:v>50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8-41E8-B80E-F5582B71B2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140319"/>
        <c:axId val="195616479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созд_шаблона!$A$5</c15:sqref>
                        </c15:formulaRef>
                      </c:ext>
                    </c:extLst>
                    <c:strCache>
                      <c:ptCount val="1"/>
                      <c:pt idx="0">
                        <c:v>Апрель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созд_шаблона!$B$5:$F$5</c15:sqref>
                        </c15:fullRef>
                        <c15:formulaRef>
                          <c15:sqref>созд_шаблона!$B$5:$D$5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EE8-41E8-B80E-F5582B71B2D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созд_шаблона!$A$6</c15:sqref>
                        </c15:formulaRef>
                      </c:ext>
                    </c:extLst>
                    <c:strCache>
                      <c:ptCount val="1"/>
                      <c:pt idx="0">
                        <c:v>Май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созд_шаблона!$B$6:$F$6</c15:sqref>
                        </c15:fullRef>
                        <c15:formulaRef>
                          <c15:sqref>созд_шаблона!$B$6:$D$6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75</c:v>
                      </c:pt>
                      <c:pt idx="1">
                        <c:v>50</c:v>
                      </c:pt>
                      <c:pt idx="2">
                        <c:v>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EE8-41E8-B80E-F5582B71B2D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созд_шаблона!$A$7</c15:sqref>
                        </c15:formulaRef>
                      </c:ext>
                    </c:extLst>
                    <c:strCache>
                      <c:ptCount val="1"/>
                      <c:pt idx="0">
                        <c:v>Июнь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созд_шаблона!$B$7:$F$7</c15:sqref>
                        </c15:fullRef>
                        <c15:formulaRef>
                          <c15:sqref>созд_шаблона!$B$7:$D$7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80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EE8-41E8-B80E-F5582B71B2D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созд_шаблона!$A$8</c15:sqref>
                        </c15:formulaRef>
                      </c:ext>
                    </c:extLst>
                    <c:strCache>
                      <c:ptCount val="1"/>
                      <c:pt idx="0">
                        <c:v>Июль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созд_шаблона!$B$8:$F$8</c15:sqref>
                        </c15:fullRef>
                        <c15:formulaRef>
                          <c15:sqref>созд_шаблона!$B$8:$D$8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90</c:v>
                      </c:pt>
                      <c:pt idx="1">
                        <c:v>60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EE8-41E8-B80E-F5582B71B2D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созд_шаблона!$A$9</c15:sqref>
                        </c15:formulaRef>
                      </c:ext>
                    </c:extLst>
                    <c:strCache>
                      <c:ptCount val="1"/>
                      <c:pt idx="0">
                        <c:v>Август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созд_шаблона!$B$9:$F$9</c15:sqref>
                        </c15:fullRef>
                        <c15:formulaRef>
                          <c15:sqref>созд_шаблона!$B$9:$D$9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85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EE8-41E8-B80E-F5582B71B2D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созд_шаблона!$A$10</c15:sqref>
                        </c15:formulaRef>
                      </c:ext>
                    </c:extLst>
                    <c:strCache>
                      <c:ptCount val="1"/>
                      <c:pt idx="0">
                        <c:v>Сентябрь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созд_шаблона!$B$10:$F$10</c15:sqref>
                        </c15:fullRef>
                        <c15:formulaRef>
                          <c15:sqref>созд_шаблона!$B$10:$D$10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95</c:v>
                      </c:pt>
                      <c:pt idx="1">
                        <c:v>65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EE8-41E8-B80E-F5582B71B2D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созд_шаблона!$A$11</c15:sqref>
                        </c15:formulaRef>
                      </c:ext>
                    </c:extLst>
                    <c:strCache>
                      <c:ptCount val="1"/>
                      <c:pt idx="0">
                        <c:v>Октябрь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созд_шаблона!$B$11:$F$11</c15:sqref>
                        </c15:fullRef>
                        <c15:formulaRef>
                          <c15:sqref>созд_шаблона!$B$11:$D$11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</c:v>
                      </c:pt>
                      <c:pt idx="1">
                        <c:v>70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EE8-41E8-B80E-F5582B71B2D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созд_шаблона!$A$12</c15:sqref>
                        </c15:formulaRef>
                      </c:ext>
                    </c:extLst>
                    <c:strCache>
                      <c:ptCount val="1"/>
                      <c:pt idx="0">
                        <c:v>Ноябрь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созд_шаблона!$B$12:$F$12</c15:sqref>
                        </c15:fullRef>
                        <c15:formulaRef>
                          <c15:sqref>созд_шаблона!$B$12:$D$12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</c:v>
                      </c:pt>
                      <c:pt idx="1">
                        <c:v>75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EE8-41E8-B80E-F5582B71B2D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созд_шаблона!$A$13</c15:sqref>
                        </c15:formulaRef>
                      </c:ext>
                    </c:extLst>
                    <c:strCache>
                      <c:ptCount val="1"/>
                      <c:pt idx="0">
                        <c:v>Декабрь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созд_шаблона!$B$13:$F$13</c15:sqref>
                        </c15:fullRef>
                        <c15:formulaRef>
                          <c15:sqref>созд_шаблона!$B$13:$D$13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120</c:v>
                      </c:pt>
                      <c:pt idx="1">
                        <c:v>80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EE8-41E8-B80E-F5582B71B2D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созд_шаблона!$A$14</c15:sqref>
                        </c15:formulaRef>
                      </c:ext>
                    </c:extLst>
                    <c:strCache>
                      <c:ptCount val="1"/>
                      <c:pt idx="0">
                        <c:v>итого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созд_шаблона!$B$14:$F$14</c15:sqref>
                        </c15:fullRef>
                        <c15:formulaRef>
                          <c15:sqref>созд_шаблона!$B$14:$D$14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1000</c:v>
                      </c:pt>
                      <c:pt idx="1">
                        <c:v>690</c:v>
                      </c:pt>
                      <c:pt idx="2">
                        <c:v>435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EE8-41E8-B80E-F5582B71B2DB}"/>
                  </c:ext>
                </c:extLst>
              </c15:ser>
            </c15:filteredBarSeries>
          </c:ext>
        </c:extLst>
      </c:barChart>
      <c:catAx>
        <c:axId val="195614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64799"/>
        <c:crosses val="autoZero"/>
        <c:auto val="1"/>
        <c:lblAlgn val="ctr"/>
        <c:lblOffset val="100"/>
        <c:noMultiLvlLbl val="0"/>
      </c:catAx>
      <c:valAx>
        <c:axId val="195616479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40319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660033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Название диаграммы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660033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созд_шаблона!$A$2</c:f>
              <c:strCache>
                <c:ptCount val="1"/>
                <c:pt idx="0">
                  <c:v>Январь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5000"/>
                    <a:lumOff val="55000"/>
                  </a:schemeClr>
                </a:gs>
                <a:gs pos="88000">
                  <a:schemeClr val="accent5">
                    <a:lumMod val="45000"/>
                    <a:lumOff val="55000"/>
                  </a:schemeClr>
                </a:gs>
                <a:gs pos="41000">
                  <a:srgbClr val="0070C0"/>
                </a:gs>
                <a:gs pos="14000">
                  <a:srgbClr val="0070C0"/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4800000" scaled="0"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>
                    <a:alpha val="80000"/>
                  </a:srgbClr>
                </a:solidFill>
                <a:prstDash val="sys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созд_шаблона!$B$2:$F$2</c15:sqref>
                  </c15:fullRef>
                </c:ext>
              </c:extLst>
              <c:f>созд_шаблона!$B$2:$D$2</c:f>
              <c:numCache>
                <c:formatCode>General</c:formatCode>
                <c:ptCount val="3"/>
                <c:pt idx="0">
                  <c:v>50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4-485E-B294-A7E1F7276C41}"/>
            </c:ext>
          </c:extLst>
        </c:ser>
        <c:ser>
          <c:idx val="1"/>
          <c:order val="1"/>
          <c:tx>
            <c:strRef>
              <c:f>созд_шаблона!$A$3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созд_шаблона!$B$3:$F$3</c15:sqref>
                  </c15:fullRef>
                </c:ext>
              </c:extLst>
              <c:f>созд_шаблона!$B$3:$D$3</c:f>
              <c:numCache>
                <c:formatCode>General</c:formatCode>
                <c:ptCount val="3"/>
                <c:pt idx="0">
                  <c:v>60</c:v>
                </c:pt>
                <c:pt idx="1">
                  <c:v>45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6-4C59-BA64-BB179E28A18B}"/>
            </c:ext>
          </c:extLst>
        </c:ser>
        <c:ser>
          <c:idx val="2"/>
          <c:order val="2"/>
          <c:tx>
            <c:strRef>
              <c:f>созд_шаблона!$A$4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созд_шаблона!$B$1:$F$1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созд_шаблона!$B$4:$F$4</c15:sqref>
                  </c15:fullRef>
                </c:ext>
              </c:extLst>
              <c:f>созд_шаблона!$B$4:$D$4</c:f>
              <c:numCache>
                <c:formatCode>General</c:formatCode>
                <c:ptCount val="3"/>
                <c:pt idx="0">
                  <c:v>70</c:v>
                </c:pt>
                <c:pt idx="1">
                  <c:v>50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6-4C59-BA64-BB179E28A1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5727039"/>
        <c:axId val="186573039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созд_шаблона!$A$5</c15:sqref>
                        </c15:formulaRef>
                      </c:ext>
                    </c:extLst>
                    <c:strCache>
                      <c:ptCount val="1"/>
                      <c:pt idx="0">
                        <c:v>Апрель</c:v>
                      </c:pt>
                    </c:strCache>
                  </c:strRef>
                </c:tx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созд_шаблона!$B$5:$F$5</c15:sqref>
                        </c15:fullRef>
                        <c15:formulaRef>
                          <c15:sqref>созд_шаблона!$B$5:$D$5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926-4C59-BA64-BB179E28A1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созд_шаблона!$A$6</c15:sqref>
                        </c15:formulaRef>
                      </c:ext>
                    </c:extLst>
                    <c:strCache>
                      <c:ptCount val="1"/>
                      <c:pt idx="0">
                        <c:v>Май</c:v>
                      </c:pt>
                    </c:strCache>
                  </c:strRef>
                </c:tx>
                <c:spPr>
                  <a:solidFill>
                    <a:schemeClr val="accent5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созд_шаблона!$B$6:$F$6</c15:sqref>
                        </c15:fullRef>
                        <c15:formulaRef>
                          <c15:sqref>созд_шаблона!$B$6:$D$6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75</c:v>
                      </c:pt>
                      <c:pt idx="1">
                        <c:v>50</c:v>
                      </c:pt>
                      <c:pt idx="2">
                        <c:v>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26-4C59-BA64-BB179E28A1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созд_шаблона!$A$7</c15:sqref>
                        </c15:formulaRef>
                      </c:ext>
                    </c:extLst>
                    <c:strCache>
                      <c:ptCount val="1"/>
                      <c:pt idx="0">
                        <c:v>Июнь</c:v>
                      </c:pt>
                    </c:strCache>
                  </c:strRef>
                </c:tx>
                <c:spPr>
                  <a:solidFill>
                    <a:schemeClr val="accent6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созд_шаблона!$B$7:$F$7</c15:sqref>
                        </c15:fullRef>
                        <c15:formulaRef>
                          <c15:sqref>созд_шаблона!$B$7:$D$7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80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D926-4C59-BA64-BB179E28A18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созд_шаблона!$A$8</c15:sqref>
                        </c15:formulaRef>
                      </c:ext>
                    </c:extLst>
                    <c:strCache>
                      <c:ptCount val="1"/>
                      <c:pt idx="0">
                        <c:v>Июль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созд_шаблона!$B$8:$F$8</c15:sqref>
                        </c15:fullRef>
                        <c15:formulaRef>
                          <c15:sqref>созд_шаблона!$B$8:$D$8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90</c:v>
                      </c:pt>
                      <c:pt idx="1">
                        <c:v>60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D926-4C59-BA64-BB179E28A1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созд_шаблона!$A$9</c15:sqref>
                        </c15:formulaRef>
                      </c:ext>
                    </c:extLst>
                    <c:strCache>
                      <c:ptCount val="1"/>
                      <c:pt idx="0">
                        <c:v>Август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созд_шаблона!$B$9:$F$9</c15:sqref>
                        </c15:fullRef>
                        <c15:formulaRef>
                          <c15:sqref>созд_шаблона!$B$9:$D$9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85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D926-4C59-BA64-BB179E28A18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созд_шаблона!$A$10</c15:sqref>
                        </c15:formulaRef>
                      </c:ext>
                    </c:extLst>
                    <c:strCache>
                      <c:ptCount val="1"/>
                      <c:pt idx="0">
                        <c:v>Сентябрь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созд_шаблона!$B$10:$F$10</c15:sqref>
                        </c15:fullRef>
                        <c15:formulaRef>
                          <c15:sqref>созд_шаблона!$B$10:$D$10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95</c:v>
                      </c:pt>
                      <c:pt idx="1">
                        <c:v>65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D926-4C59-BA64-BB179E28A18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созд_шаблона!$A$11</c15:sqref>
                        </c15:formulaRef>
                      </c:ext>
                    </c:extLst>
                    <c:strCache>
                      <c:ptCount val="1"/>
                      <c:pt idx="0">
                        <c:v>Октябрь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созд_шаблона!$B$11:$F$11</c15:sqref>
                        </c15:fullRef>
                        <c15:formulaRef>
                          <c15:sqref>созд_шаблона!$B$11:$D$11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</c:v>
                      </c:pt>
                      <c:pt idx="1">
                        <c:v>70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926-4C59-BA64-BB179E28A18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созд_шаблона!$A$12</c15:sqref>
                        </c15:formulaRef>
                      </c:ext>
                    </c:extLst>
                    <c:strCache>
                      <c:ptCount val="1"/>
                      <c:pt idx="0">
                        <c:v>Ноябрь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созд_шаблона!$B$12:$F$12</c15:sqref>
                        </c15:fullRef>
                        <c15:formulaRef>
                          <c15:sqref>созд_шаблона!$B$12:$D$12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</c:v>
                      </c:pt>
                      <c:pt idx="1">
                        <c:v>75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D926-4C59-BA64-BB179E28A18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созд_шаблона!$A$13</c15:sqref>
                        </c15:formulaRef>
                      </c:ext>
                    </c:extLst>
                    <c:strCache>
                      <c:ptCount val="1"/>
                      <c:pt idx="0">
                        <c:v>Декабрь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созд_шаблона!$B$13:$F$13</c15:sqref>
                        </c15:fullRef>
                        <c15:formulaRef>
                          <c15:sqref>созд_шаблона!$B$13:$D$13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120</c:v>
                      </c:pt>
                      <c:pt idx="1">
                        <c:v>80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D926-4C59-BA64-BB179E28A18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созд_шаблона!$A$14</c15:sqref>
                        </c15:formulaRef>
                      </c:ext>
                    </c:extLst>
                    <c:strCache>
                      <c:ptCount val="1"/>
                      <c:pt idx="0">
                        <c:v>итого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созд_шаблона!$B$1:$F$1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созд_шаблона!$B$14:$F$14</c15:sqref>
                        </c15:fullRef>
                        <c15:formulaRef>
                          <c15:sqref>созд_шаблона!$B$14:$D$14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1000</c:v>
                      </c:pt>
                      <c:pt idx="1">
                        <c:v>690</c:v>
                      </c:pt>
                      <c:pt idx="2">
                        <c:v>435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D926-4C59-BA64-BB179E28A18B}"/>
                  </c:ext>
                </c:extLst>
              </c15:ser>
            </c15:filteredBarSeries>
          </c:ext>
        </c:extLst>
      </c:barChart>
      <c:catAx>
        <c:axId val="18657270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rgbClr val="660033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730399"/>
        <c:crosses val="autoZero"/>
        <c:auto val="1"/>
        <c:lblAlgn val="ctr"/>
        <c:lblOffset val="100"/>
        <c:noMultiLvlLbl val="0"/>
      </c:catAx>
      <c:valAx>
        <c:axId val="18657303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7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21000">
          <a:schemeClr val="accent4">
            <a:lumMod val="20000"/>
            <a:lumOff val="80000"/>
          </a:schemeClr>
        </a:gs>
        <a:gs pos="48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4800000" scaled="0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Название диаграммы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8"/>
          <c:order val="6"/>
          <c:tx>
            <c:strRef>
              <c:f>созд_шаблона!$A$10</c:f>
              <c:strCache>
                <c:ptCount val="1"/>
                <c:pt idx="0">
                  <c:v>Сентябрь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созд_шаблона!$B$1:$E$1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созд_шаблона!$B$10:$E$10</c15:sqref>
                  </c15:fullRef>
                </c:ext>
              </c:extLst>
              <c:f>созд_шаблона!$B$10:$D$10</c:f>
              <c:numCache>
                <c:formatCode>General</c:formatCode>
                <c:ptCount val="3"/>
                <c:pt idx="0">
                  <c:v>95</c:v>
                </c:pt>
                <c:pt idx="1">
                  <c:v>65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033-4A9D-846B-1EA5A09A7E4A}"/>
            </c:ext>
          </c:extLst>
        </c:ser>
        <c:ser>
          <c:idx val="7"/>
          <c:order val="7"/>
          <c:tx>
            <c:strRef>
              <c:f>созд_шаблона!$A$9</c:f>
              <c:strCache>
                <c:ptCount val="1"/>
                <c:pt idx="0">
                  <c:v>Август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созд_шаблона!$B$1:$E$1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созд_шаблона!$B$9:$E$9</c15:sqref>
                  </c15:fullRef>
                </c:ext>
              </c:extLst>
              <c:f>созд_шаблона!$B$9:$D$9</c:f>
              <c:numCache>
                <c:formatCode>General</c:formatCode>
                <c:ptCount val="3"/>
                <c:pt idx="0">
                  <c:v>85</c:v>
                </c:pt>
                <c:pt idx="1">
                  <c:v>55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033-4A9D-846B-1EA5A09A7E4A}"/>
            </c:ext>
          </c:extLst>
        </c:ser>
        <c:ser>
          <c:idx val="6"/>
          <c:order val="8"/>
          <c:tx>
            <c:strRef>
              <c:f>созд_шаблона!$A$8</c:f>
              <c:strCache>
                <c:ptCount val="1"/>
                <c:pt idx="0">
                  <c:v>Июль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созд_шаблона!$B$1:$E$1</c15:sqref>
                  </c15:fullRef>
                </c:ext>
              </c:extLst>
              <c:f>созд_шаблона!$B$1:$D$1</c:f>
              <c:strCache>
                <c:ptCount val="3"/>
                <c:pt idx="0">
                  <c:v>Продукт A</c:v>
                </c:pt>
                <c:pt idx="1">
                  <c:v>Продукт B</c:v>
                </c:pt>
                <c:pt idx="2">
                  <c:v>Продукт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созд_шаблона!$B$8:$E$8</c15:sqref>
                  </c15:fullRef>
                </c:ext>
              </c:extLst>
              <c:f>созд_шаблона!$B$8:$D$8</c:f>
              <c:numCache>
                <c:formatCode>General</c:formatCode>
                <c:ptCount val="3"/>
                <c:pt idx="0">
                  <c:v>90</c:v>
                </c:pt>
                <c:pt idx="1">
                  <c:v>60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033-4A9D-846B-1EA5A09A7E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140319"/>
        <c:axId val="1956164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созд_шаблона!$A$2</c15:sqref>
                        </c15:formulaRef>
                      </c:ext>
                    </c:extLst>
                    <c:strCache>
                      <c:ptCount val="1"/>
                      <c:pt idx="0">
                        <c:v>Январь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созд_шаблона!$B$2:$E$2</c15:sqref>
                        </c15:fullRef>
                        <c15:formulaRef>
                          <c15:sqref>созд_шаблона!$B$2:$D$2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50</c:v>
                      </c:pt>
                      <c:pt idx="1">
                        <c:v>40</c:v>
                      </c:pt>
                      <c:pt idx="2">
                        <c:v>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E8-41E8-B80E-F5582B71B2D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созд_шаблона!$A$3</c15:sqref>
                        </c15:formulaRef>
                      </c:ext>
                    </c:extLst>
                    <c:strCache>
                      <c:ptCount val="1"/>
                      <c:pt idx="0">
                        <c:v>Февраль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созд_шаблона!$B$3:$E$3</c15:sqref>
                        </c15:fullRef>
                        <c15:formulaRef>
                          <c15:sqref>созд_шаблона!$B$3:$D$3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60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EE8-41E8-B80E-F5582B71B2D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созд_шаблона!$A$4</c15:sqref>
                        </c15:formulaRef>
                      </c:ext>
                    </c:extLst>
                    <c:strCache>
                      <c:ptCount val="1"/>
                      <c:pt idx="0">
                        <c:v>Март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созд_шаблона!$B$4:$E$4</c15:sqref>
                        </c15:fullRef>
                        <c15:formulaRef>
                          <c15:sqref>созд_шаблона!$B$4:$D$4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70</c:v>
                      </c:pt>
                      <c:pt idx="1">
                        <c:v>50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EE8-41E8-B80E-F5582B71B2DB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созд_шаблона!$A$5</c15:sqref>
                        </c15:formulaRef>
                      </c:ext>
                    </c:extLst>
                    <c:strCache>
                      <c:ptCount val="1"/>
                      <c:pt idx="0">
                        <c:v>Апрель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созд_шаблона!$B$5:$E$5</c15:sqref>
                        </c15:fullRef>
                        <c15:formulaRef>
                          <c15:sqref>созд_шаблона!$B$5:$D$5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65</c:v>
                      </c:pt>
                      <c:pt idx="1">
                        <c:v>45</c:v>
                      </c:pt>
                      <c:pt idx="2">
                        <c:v>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EE8-41E8-B80E-F5582B71B2DB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созд_шаблона!$A$6</c15:sqref>
                        </c15:formulaRef>
                      </c:ext>
                    </c:extLst>
                    <c:strCache>
                      <c:ptCount val="1"/>
                      <c:pt idx="0">
                        <c:v>Май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созд_шаблона!$B$6:$E$6</c15:sqref>
                        </c15:fullRef>
                        <c15:formulaRef>
                          <c15:sqref>созд_шаблона!$B$6:$D$6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75</c:v>
                      </c:pt>
                      <c:pt idx="1">
                        <c:v>50</c:v>
                      </c:pt>
                      <c:pt idx="2">
                        <c:v>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033-4A9D-846B-1EA5A09A7E4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созд_шаблона!$A$7</c15:sqref>
                        </c15:formulaRef>
                      </c:ext>
                    </c:extLst>
                    <c:strCache>
                      <c:ptCount val="1"/>
                      <c:pt idx="0">
                        <c:v>Июнь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созд_шаблона!$B$7:$E$7</c15:sqref>
                        </c15:fullRef>
                        <c15:formulaRef>
                          <c15:sqref>созд_шаблона!$B$7:$D$7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80</c:v>
                      </c:pt>
                      <c:pt idx="1">
                        <c:v>55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033-4A9D-846B-1EA5A09A7E4A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созд_шаблона!$A$11</c15:sqref>
                        </c15:formulaRef>
                      </c:ext>
                    </c:extLst>
                    <c:strCache>
                      <c:ptCount val="1"/>
                      <c:pt idx="0">
                        <c:v>Октябрь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созд_шаблона!$B$11:$E$11</c15:sqref>
                        </c15:fullRef>
                        <c15:formulaRef>
                          <c15:sqref>созд_шаблона!$B$11:$D$11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100</c:v>
                      </c:pt>
                      <c:pt idx="1">
                        <c:v>70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033-4A9D-846B-1EA5A09A7E4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созд_шаблона!$A$12</c15:sqref>
                        </c15:formulaRef>
                      </c:ext>
                    </c:extLst>
                    <c:strCache>
                      <c:ptCount val="1"/>
                      <c:pt idx="0">
                        <c:v>Ноябрь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созд_шаблона!$B$12:$E$12</c15:sqref>
                        </c15:fullRef>
                        <c15:formulaRef>
                          <c15:sqref>созд_шаблона!$B$12:$D$12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110</c:v>
                      </c:pt>
                      <c:pt idx="1">
                        <c:v>75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5033-4A9D-846B-1EA5A09A7E4A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созд_шаблона!$A$13</c15:sqref>
                        </c15:formulaRef>
                      </c:ext>
                    </c:extLst>
                    <c:strCache>
                      <c:ptCount val="1"/>
                      <c:pt idx="0">
                        <c:v>Декабрь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созд_шаблона!$B$1:$E$1</c15:sqref>
                        </c15:fullRef>
                        <c15:formulaRef>
                          <c15:sqref>созд_шаблона!$B$1:$D$1</c15:sqref>
                        </c15:formulaRef>
                      </c:ext>
                    </c:extLst>
                    <c:strCache>
                      <c:ptCount val="3"/>
                      <c:pt idx="0">
                        <c:v>Продукт A</c:v>
                      </c:pt>
                      <c:pt idx="1">
                        <c:v>Продукт B</c:v>
                      </c:pt>
                      <c:pt idx="2">
                        <c:v>Продукт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созд_шаблона!$B$13:$E$13</c15:sqref>
                        </c15:fullRef>
                        <c15:formulaRef>
                          <c15:sqref>созд_шаблона!$B$13:$D$13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120</c:v>
                      </c:pt>
                      <c:pt idx="1">
                        <c:v>80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033-4A9D-846B-1EA5A09A7E4A}"/>
                  </c:ext>
                </c:extLst>
              </c15:ser>
            </c15:filteredBarSeries>
          </c:ext>
        </c:extLst>
      </c:barChart>
      <c:catAx>
        <c:axId val="195614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64799"/>
        <c:crosses val="autoZero"/>
        <c:auto val="1"/>
        <c:lblAlgn val="ctr"/>
        <c:lblOffset val="100"/>
        <c:noMultiLvlLbl val="0"/>
      </c:catAx>
      <c:valAx>
        <c:axId val="195616479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40319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Название диаграммы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вст_шаблона!$B$1</c:f>
              <c:strCache>
                <c:ptCount val="1"/>
                <c:pt idx="0">
                  <c:v>Продукт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вст_шаблона!$A$2:$A$14</c15:sqref>
                  </c15:fullRef>
                </c:ext>
              </c:extLst>
              <c:f>вст_шаблона!$A$5:$A$7</c:f>
              <c:strCache>
                <c:ptCount val="3"/>
                <c:pt idx="0">
                  <c:v>Апрель</c:v>
                </c:pt>
                <c:pt idx="1">
                  <c:v>Май</c:v>
                </c:pt>
                <c:pt idx="2">
                  <c:v>Июнь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вст_шаблона!$B$2:$B$14</c15:sqref>
                  </c15:fullRef>
                </c:ext>
              </c:extLst>
              <c:f>вст_шаблона!$B$5:$B$7</c:f>
              <c:numCache>
                <c:formatCode>General</c:formatCode>
                <c:ptCount val="3"/>
                <c:pt idx="0">
                  <c:v>-65</c:v>
                </c:pt>
                <c:pt idx="1">
                  <c:v>-75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B-4CC9-8613-EB05A59B87DC}"/>
            </c:ext>
          </c:extLst>
        </c:ser>
        <c:ser>
          <c:idx val="1"/>
          <c:order val="1"/>
          <c:tx>
            <c:strRef>
              <c:f>вст_шаблона!$C$1</c:f>
              <c:strCache>
                <c:ptCount val="1"/>
                <c:pt idx="0">
                  <c:v>Продукт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вст_шаблона!$A$2:$A$14</c15:sqref>
                  </c15:fullRef>
                </c:ext>
              </c:extLst>
              <c:f>вст_шаблона!$A$5:$A$7</c:f>
              <c:strCache>
                <c:ptCount val="3"/>
                <c:pt idx="0">
                  <c:v>Апрель</c:v>
                </c:pt>
                <c:pt idx="1">
                  <c:v>Май</c:v>
                </c:pt>
                <c:pt idx="2">
                  <c:v>Июнь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вст_шаблона!$C$2:$C$14</c15:sqref>
                  </c15:fullRef>
                </c:ext>
              </c:extLst>
              <c:f>вст_шаблона!$C$5:$C$7</c:f>
              <c:numCache>
                <c:formatCode>General</c:formatCode>
                <c:ptCount val="3"/>
                <c:pt idx="0">
                  <c:v>157</c:v>
                </c:pt>
                <c:pt idx="1">
                  <c:v>250</c:v>
                </c:pt>
                <c:pt idx="2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B-4CC9-8613-EB05A59B87DC}"/>
            </c:ext>
          </c:extLst>
        </c:ser>
        <c:ser>
          <c:idx val="2"/>
          <c:order val="2"/>
          <c:tx>
            <c:strRef>
              <c:f>вст_шаблона!$D$1</c:f>
              <c:strCache>
                <c:ptCount val="1"/>
                <c:pt idx="0">
                  <c:v>Продукт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вст_шаблона!$A$2:$A$14</c15:sqref>
                  </c15:fullRef>
                </c:ext>
              </c:extLst>
              <c:f>вст_шаблона!$A$5:$A$7</c:f>
              <c:strCache>
                <c:ptCount val="3"/>
                <c:pt idx="0">
                  <c:v>Апрель</c:v>
                </c:pt>
                <c:pt idx="1">
                  <c:v>Май</c:v>
                </c:pt>
                <c:pt idx="2">
                  <c:v>Июнь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вст_шаблона!$D$2:$D$14</c15:sqref>
                  </c15:fullRef>
                </c:ext>
              </c:extLst>
              <c:f>вст_шаблона!$D$5:$D$7</c:f>
              <c:numCache>
                <c:formatCode>General</c:formatCode>
                <c:ptCount val="3"/>
                <c:pt idx="0">
                  <c:v>130</c:v>
                </c:pt>
                <c:pt idx="1">
                  <c:v>235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B-4CC9-8613-EB05A59B87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140319"/>
        <c:axId val="1956164799"/>
        <c:extLst>
          <c:ext xmlns:c15="http://schemas.microsoft.com/office/drawing/2012/chart" uri="{02D57815-91ED-43cb-92C2-25804820EDAC}">
            <c15:filteredBar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вст_шаблона!$E$1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вст_шаблона!$A$2:$A$14</c15:sqref>
                        </c15:fullRef>
                        <c15:formulaRef>
                          <c15:sqref>вст_шаблона!$A$5:$A$7</c15:sqref>
                        </c15:formulaRef>
                      </c:ext>
                    </c:extLst>
                    <c:strCache>
                      <c:ptCount val="3"/>
                      <c:pt idx="0">
                        <c:v>Апрель</c:v>
                      </c:pt>
                      <c:pt idx="1">
                        <c:v>Май</c:v>
                      </c:pt>
                      <c:pt idx="2">
                        <c:v>Июнь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вст_шаблона!$E$2:$E$14</c15:sqref>
                        </c15:fullRef>
                        <c15:formulaRef>
                          <c15:sqref>вст_шаблона!$E$5:$E$7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222</c:v>
                      </c:pt>
                      <c:pt idx="1">
                        <c:v>410</c:v>
                      </c:pt>
                      <c:pt idx="2">
                        <c:v>794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33B-4CC9-8613-EB05A59B87DC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вст_шаблона!$F$1</c15:sqref>
                        </c15:formulaRef>
                      </c:ext>
                    </c:extLst>
                    <c:strCache>
                      <c:ptCount val="1"/>
                      <c:pt idx="0">
                        <c:v>доля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6350" cap="flat" cmpd="sng" algn="ctr">
                            <a:solidFill>
                              <a:schemeClr val="tx1"/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вст_шаблона!$A$2:$A$14</c15:sqref>
                        </c15:fullRef>
                        <c15:formulaRef>
                          <c15:sqref>вст_шаблона!$A$5:$A$7</c15:sqref>
                        </c15:formulaRef>
                      </c:ext>
                    </c:extLst>
                    <c:strCache>
                      <c:ptCount val="3"/>
                      <c:pt idx="0">
                        <c:v>Апрель</c:v>
                      </c:pt>
                      <c:pt idx="1">
                        <c:v>Май</c:v>
                      </c:pt>
                      <c:pt idx="2">
                        <c:v>Июнь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вст_шаблона!$F$2:$F$14</c15:sqref>
                        </c15:fullRef>
                        <c15:formulaRef>
                          <c15:sqref>вст_шаблона!$F$5:$F$7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3.9971191933741448E-2</c:v>
                      </c:pt>
                      <c:pt idx="1">
                        <c:v>7.382066978754051E-2</c:v>
                      </c:pt>
                      <c:pt idx="2">
                        <c:v>0.14296002880806627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3B-4CC9-8613-EB05A59B87DC}"/>
                  </c:ext>
                </c:extLst>
              </c15:ser>
            </c15:filteredBarSeries>
          </c:ext>
        </c:extLst>
      </c:barChart>
      <c:catAx>
        <c:axId val="195614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64799"/>
        <c:crosses val="autoZero"/>
        <c:auto val="1"/>
        <c:lblAlgn val="ctr"/>
        <c:lblOffset val="100"/>
        <c:noMultiLvlLbl val="0"/>
      </c:catAx>
      <c:valAx>
        <c:axId val="195616479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140319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</a:rPr>
              <a:t>динамика продукта</a:t>
            </a:r>
            <a:r>
              <a:rPr lang="ru-RU" baseline="0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</a:rPr>
              <a:t>  по месяцам</a:t>
            </a:r>
            <a:endParaRPr lang="ru-RU">
              <a:ln>
                <a:solidFill>
                  <a:srgbClr val="660033"/>
                </a:solidFill>
              </a:ln>
              <a:solidFill>
                <a:srgbClr val="660033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1"/>
          <c:tx>
            <c:strRef>
              <c:f>коп_форм!$A$3</c:f>
              <c:strCache>
                <c:ptCount val="1"/>
                <c:pt idx="0">
                  <c:v>Продукт B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коп_форм!$B$1:$N$1</c15:sqref>
                  </c15:fullRef>
                </c:ext>
              </c:extLst>
              <c:f>коп_форм!$B$1:$M$1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коп_форм!$B$3:$N$3</c15:sqref>
                  </c15:fullRef>
                </c:ext>
              </c:extLst>
              <c:f>коп_форм!$B$3:$M$3</c:f>
              <c:numCache>
                <c:formatCode>General</c:formatCode>
                <c:ptCount val="12"/>
                <c:pt idx="0">
                  <c:v>40</c:v>
                </c:pt>
                <c:pt idx="1">
                  <c:v>45</c:v>
                </c:pt>
                <c:pt idx="2">
                  <c:v>150</c:v>
                </c:pt>
                <c:pt idx="3">
                  <c:v>245</c:v>
                </c:pt>
                <c:pt idx="4">
                  <c:v>150</c:v>
                </c:pt>
                <c:pt idx="5">
                  <c:v>255</c:v>
                </c:pt>
                <c:pt idx="6">
                  <c:v>360</c:v>
                </c:pt>
                <c:pt idx="7">
                  <c:v>355</c:v>
                </c:pt>
                <c:pt idx="8">
                  <c:v>365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C-42C2-BC2C-4E1109B0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76848"/>
        <c:axId val="294959088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коп_форм!$B$2:$N$2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8C-42C2-BC2C-4E1109B05D35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коп_форм!$B$4:$N$4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8C-42C2-BC2C-4E1109B05D35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коп_форм!$A$5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коп_форм!$B$5:$N$5</c15:sqref>
                        </c15:fullRef>
                        <c15:formulaRef>
                          <c15:sqref>коп_форм!$B$5:$M$5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335</c:v>
                      </c:pt>
                      <c:pt idx="2">
                        <c:v>410</c:v>
                      </c:pt>
                      <c:pt idx="3">
                        <c:v>540</c:v>
                      </c:pt>
                      <c:pt idx="4">
                        <c:v>460</c:v>
                      </c:pt>
                      <c:pt idx="5">
                        <c:v>775</c:v>
                      </c:pt>
                      <c:pt idx="6">
                        <c:v>1090</c:v>
                      </c:pt>
                      <c:pt idx="7">
                        <c:v>1080</c:v>
                      </c:pt>
                      <c:pt idx="8">
                        <c:v>1100</c:v>
                      </c:pt>
                      <c:pt idx="9">
                        <c:v>1210</c:v>
                      </c:pt>
                      <c:pt idx="10">
                        <c:v>1125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8C-42C2-BC2C-4E1109B05D35}"/>
                  </c:ext>
                </c:extLst>
              </c15:ser>
            </c15:filteredLineSeries>
            <c15:filteredLine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коп_форм!$A$1</c15:sqref>
                        </c15:formulaRef>
                      </c:ext>
                    </c:extLst>
                    <c:strCache>
                      <c:ptCount val="1"/>
                      <c:pt idx="0">
                        <c:v>Месяц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8C-42C2-BC2C-4E1109B05D35}"/>
                  </c:ext>
                </c:extLst>
              </c15:ser>
            </c15:filteredLineSeries>
            <c15:filteredLine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коп_форм!$B$2:$M$2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8C-42C2-BC2C-4E1109B05D35}"/>
                  </c:ext>
                </c:extLst>
              </c15:ser>
            </c15:filteredLineSeries>
            <c15:filteredLine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коп_форм!$B$3:$M$3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8C-42C2-BC2C-4E1109B05D35}"/>
                  </c:ext>
                </c:extLst>
              </c15:ser>
            </c15:filteredLineSeries>
            <c15:filteredLineSeries>
              <c15:ser>
                <c:idx val="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коп_форм!$B$4:$M$4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8C-42C2-BC2C-4E1109B05D35}"/>
                  </c:ext>
                </c:extLst>
              </c15:ser>
            </c15:filteredLineSeries>
          </c:ext>
        </c:extLst>
      </c:lineChart>
      <c:catAx>
        <c:axId val="294976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59088"/>
        <c:crosses val="autoZero"/>
        <c:auto val="1"/>
        <c:lblAlgn val="ctr"/>
        <c:lblOffset val="100"/>
        <c:noMultiLvlLbl val="0"/>
      </c:catAx>
      <c:valAx>
        <c:axId val="2949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768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660033"/>
                </a:solidFill>
              </a:ln>
              <a:solidFill>
                <a:srgbClr val="660033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</a:rPr>
              <a:t>динамика продукта</a:t>
            </a:r>
            <a:r>
              <a:rPr lang="ru-RU" baseline="0">
                <a:ln>
                  <a:solidFill>
                    <a:srgbClr val="660033"/>
                  </a:solidFill>
                </a:ln>
                <a:solidFill>
                  <a:srgbClr val="660033"/>
                </a:solidFill>
              </a:rPr>
              <a:t>  по месяцам</a:t>
            </a:r>
            <a:endParaRPr lang="ru-RU">
              <a:ln>
                <a:solidFill>
                  <a:srgbClr val="660033"/>
                </a:solidFill>
              </a:ln>
              <a:solidFill>
                <a:srgbClr val="660033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коп_форм!$A$2</c:f>
              <c:strCache>
                <c:ptCount val="1"/>
                <c:pt idx="0">
                  <c:v>Продукт A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circle"/>
            <c:size val="6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коп_форм!$B$1:$N$1</c15:sqref>
                  </c15:fullRef>
                </c:ext>
              </c:extLst>
              <c:f>коп_форм!$B$1:$M$1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коп_форм!$B$2:$N$2</c15:sqref>
                  </c15:fullRef>
                </c:ext>
              </c:extLst>
              <c:f>коп_форм!$B$2:$M$2</c:f>
              <c:numCache>
                <c:formatCode>General</c:formatCode>
                <c:ptCount val="12"/>
                <c:pt idx="0">
                  <c:v>50</c:v>
                </c:pt>
                <c:pt idx="1">
                  <c:v>160</c:v>
                </c:pt>
                <c:pt idx="2">
                  <c:v>170</c:v>
                </c:pt>
                <c:pt idx="3">
                  <c:v>165</c:v>
                </c:pt>
                <c:pt idx="4">
                  <c:v>175</c:v>
                </c:pt>
                <c:pt idx="5">
                  <c:v>280</c:v>
                </c:pt>
                <c:pt idx="6">
                  <c:v>390</c:v>
                </c:pt>
                <c:pt idx="7">
                  <c:v>385</c:v>
                </c:pt>
                <c:pt idx="8">
                  <c:v>395</c:v>
                </c:pt>
                <c:pt idx="9">
                  <c:v>300</c:v>
                </c:pt>
                <c:pt idx="10">
                  <c:v>110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5-48DA-B2CC-75E7444EA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76848"/>
        <c:axId val="294959088"/>
        <c:extLst>
          <c:ext xmlns:c15="http://schemas.microsoft.com/office/drawing/2012/chart" uri="{02D57815-91ED-43cb-92C2-25804820EDAC}">
            <c15:filteredLineSeries>
              <c15:ser>
                <c:idx val="9"/>
                <c:order val="1"/>
                <c:tx>
                  <c:strRef>
                    <c:extLst>
                      <c:ext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коп_форм!$B$3:$N$3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FE5-48DA-B2CC-75E7444EA9AD}"/>
                  </c:ext>
                </c:extLst>
              </c15:ser>
            </c15:filteredLineSeries>
            <c15:filteredLineSeries>
              <c15:ser>
                <c:idx val="1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коп_форм!$B$4:$N$4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E5-48DA-B2CC-75E7444EA9AD}"/>
                  </c:ext>
                </c:extLst>
              </c15:ser>
            </c15:filteredLineSeries>
            <c15:filteredLineSeries>
              <c15:ser>
                <c:idx val="1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коп_форм!$A$5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коп_форм!$B$1:$N$1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коп_форм!$B$5:$N$5</c15:sqref>
                        </c15:fullRef>
                        <c15:formulaRef>
                          <c15:sqref>коп_форм!$B$5:$M$5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335</c:v>
                      </c:pt>
                      <c:pt idx="2">
                        <c:v>410</c:v>
                      </c:pt>
                      <c:pt idx="3">
                        <c:v>540</c:v>
                      </c:pt>
                      <c:pt idx="4">
                        <c:v>460</c:v>
                      </c:pt>
                      <c:pt idx="5">
                        <c:v>775</c:v>
                      </c:pt>
                      <c:pt idx="6">
                        <c:v>1090</c:v>
                      </c:pt>
                      <c:pt idx="7">
                        <c:v>1080</c:v>
                      </c:pt>
                      <c:pt idx="8">
                        <c:v>1100</c:v>
                      </c:pt>
                      <c:pt idx="9">
                        <c:v>1210</c:v>
                      </c:pt>
                      <c:pt idx="10">
                        <c:v>1125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E5-48DA-B2CC-75E7444EA9AD}"/>
                  </c:ext>
                </c:extLst>
              </c15:ser>
            </c15:filteredLineSeries>
            <c15:filteredLineSeries>
              <c15:ser>
                <c:idx val="1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коп_форм!$B$2:$M$2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E5-48DA-B2CC-75E7444EA9AD}"/>
                  </c:ext>
                </c:extLst>
              </c15:ser>
            </c15:filteredLineSeries>
            <c15:filteredLineSeries>
              <c15:ser>
                <c:idx val="1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коп_форм!$B$3:$M$3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E5-48DA-B2CC-75E7444EA9AD}"/>
                  </c:ext>
                </c:extLst>
              </c15:ser>
            </c15:filteredLineSeries>
            <c15:filteredLineSeries>
              <c15:ser>
                <c:idx val="1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коп_форм!$B$4:$M$4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FE5-48DA-B2CC-75E7444EA9AD}"/>
                  </c:ext>
                </c:extLst>
              </c15:ser>
            </c15:filteredLineSeries>
            <c15:filteredLineSeries>
              <c15:ser>
                <c:idx val="1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коп_форм!$A$5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коп_форм!$B$5:$M$5</c15:sqref>
                        </c15:fullRef>
                        <c15:formulaRef>
                          <c15:sqref>коп_форм!$B$5:$M$5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335</c:v>
                      </c:pt>
                      <c:pt idx="2">
                        <c:v>410</c:v>
                      </c:pt>
                      <c:pt idx="3">
                        <c:v>540</c:v>
                      </c:pt>
                      <c:pt idx="4">
                        <c:v>460</c:v>
                      </c:pt>
                      <c:pt idx="5">
                        <c:v>775</c:v>
                      </c:pt>
                      <c:pt idx="6">
                        <c:v>1090</c:v>
                      </c:pt>
                      <c:pt idx="7">
                        <c:v>1080</c:v>
                      </c:pt>
                      <c:pt idx="8">
                        <c:v>1100</c:v>
                      </c:pt>
                      <c:pt idx="9">
                        <c:v>1210</c:v>
                      </c:pt>
                      <c:pt idx="10">
                        <c:v>1125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FE5-48DA-B2CC-75E7444EA9AD}"/>
                  </c:ext>
                </c:extLst>
              </c15:ser>
            </c15:filteredLineSeries>
            <c15:filteredLineSeries>
              <c15:ser>
                <c:idx val="1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коп_форм!$A$1</c15:sqref>
                        </c15:formulaRef>
                      </c:ext>
                    </c:extLst>
                    <c:strCache>
                      <c:ptCount val="1"/>
                      <c:pt idx="0">
                        <c:v>Месяц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FE5-48DA-B2CC-75E7444EA9AD}"/>
                  </c:ext>
                </c:extLst>
              </c15:ser>
            </c15:filteredLineSeries>
            <c15:filteredLineSeries>
              <c15:ser>
                <c:idx val="1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коп_форм!$B$2:$M$2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FE5-48DA-B2CC-75E7444EA9AD}"/>
                  </c:ext>
                </c:extLst>
              </c15:ser>
            </c15:filteredLineSeries>
            <c15:filteredLineSeries>
              <c15:ser>
                <c:idx val="1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коп_форм!$B$3:$M$3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FE5-48DA-B2CC-75E7444EA9AD}"/>
                  </c:ext>
                </c:extLst>
              </c15:ser>
            </c15:filteredLineSeries>
            <c15:filteredLineSeries>
              <c15:ser>
                <c:idx val="19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коп_форм!$B$4:$M$4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FE5-48DA-B2CC-75E7444EA9AD}"/>
                  </c:ext>
                </c:extLst>
              </c15:ser>
            </c15:filteredLineSeries>
            <c15:filteredLineSeries>
              <c15:ser>
                <c:idx val="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коп_форм!$B$2:$M$2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FE5-48DA-B2CC-75E7444EA9AD}"/>
                  </c:ext>
                </c:extLst>
              </c15:ser>
            </c15:filteredLineSeries>
            <c15:filteredLineSeries>
              <c15:ser>
                <c:idx val="5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коп_форм!$B$3:$M$3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FE5-48DA-B2CC-75E7444EA9AD}"/>
                  </c:ext>
                </c:extLst>
              </c15:ser>
            </c15:filteredLineSeries>
            <c15:filteredLineSeries>
              <c15:ser>
                <c:idx val="6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коп_форм!$B$4:$M$4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FE5-48DA-B2CC-75E7444EA9AD}"/>
                  </c:ext>
                </c:extLst>
              </c15:ser>
            </c15:filteredLineSeries>
            <c15:filteredLineSeries>
              <c15:ser>
                <c:idx val="7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коп_форм!$A$5</c15:sqref>
                        </c15:formulaRef>
                      </c:ext>
                    </c:extLst>
                    <c:strCache>
                      <c:ptCount val="1"/>
                      <c:pt idx="0">
                        <c:v>сумма 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strCache>
                      <c:ptCount val="12"/>
                      <c:pt idx="0">
                        <c:v>Январь</c:v>
                      </c:pt>
                      <c:pt idx="1">
                        <c:v>Февраль</c:v>
                      </c:pt>
                      <c:pt idx="2">
                        <c:v>Март</c:v>
                      </c:pt>
                      <c:pt idx="3">
                        <c:v>Апрель</c:v>
                      </c:pt>
                      <c:pt idx="4">
                        <c:v>Май</c:v>
                      </c:pt>
                      <c:pt idx="5">
                        <c:v>Июнь</c:v>
                      </c:pt>
                      <c:pt idx="6">
                        <c:v>Июль</c:v>
                      </c:pt>
                      <c:pt idx="7">
                        <c:v>Август</c:v>
                      </c:pt>
                      <c:pt idx="8">
                        <c:v>Сентябрь</c:v>
                      </c:pt>
                      <c:pt idx="9">
                        <c:v>Октябрь</c:v>
                      </c:pt>
                      <c:pt idx="10">
                        <c:v>Ноябрь</c:v>
                      </c:pt>
                      <c:pt idx="11">
                        <c:v>Декабрь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коп_форм!$B$5:$M$5</c15:sqref>
                        </c15:fullRef>
                        <c15:formulaRef>
                          <c15:sqref>коп_форм!$B$5:$M$5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335</c:v>
                      </c:pt>
                      <c:pt idx="2">
                        <c:v>410</c:v>
                      </c:pt>
                      <c:pt idx="3">
                        <c:v>540</c:v>
                      </c:pt>
                      <c:pt idx="4">
                        <c:v>460</c:v>
                      </c:pt>
                      <c:pt idx="5">
                        <c:v>775</c:v>
                      </c:pt>
                      <c:pt idx="6">
                        <c:v>1090</c:v>
                      </c:pt>
                      <c:pt idx="7">
                        <c:v>1080</c:v>
                      </c:pt>
                      <c:pt idx="8">
                        <c:v>1100</c:v>
                      </c:pt>
                      <c:pt idx="9">
                        <c:v>1210</c:v>
                      </c:pt>
                      <c:pt idx="10">
                        <c:v>1125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FE5-48DA-B2CC-75E7444EA9AD}"/>
                  </c:ext>
                </c:extLst>
              </c15:ser>
            </c15:filteredLineSeries>
            <c15:filteredLineSeries>
              <c15:ser>
                <c:idx val="0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коп_форм!$A$1</c15:sqref>
                        </c15:formulaRef>
                      </c:ext>
                    </c:extLst>
                    <c:strCache>
                      <c:ptCount val="1"/>
                      <c:pt idx="0">
                        <c:v>Месяц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коп_форм!$B$1:$M$1</c15:sqref>
                        </c15:fullRef>
                        <c15:formulaRef>
                          <c15:sqref>коп_форм!$B$1:$M$1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FE5-48DA-B2CC-75E7444EA9AD}"/>
                  </c:ext>
                </c:extLst>
              </c15:ser>
            </c15:filteredLineSeries>
            <c15:filteredLineSeries>
              <c15:ser>
                <c:idx val="1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коп_форм!$A$2</c15:sqref>
                        </c15:formulaRef>
                      </c:ext>
                    </c:extLst>
                    <c:strCache>
                      <c:ptCount val="1"/>
                      <c:pt idx="0">
                        <c:v>Продукт A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коп_форм!$B$2:$M$2</c15:sqref>
                        </c15:fullRef>
                        <c15:formulaRef>
                          <c15:sqref>коп_форм!$B$2:$M$2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50</c:v>
                      </c:pt>
                      <c:pt idx="1">
                        <c:v>160</c:v>
                      </c:pt>
                      <c:pt idx="2">
                        <c:v>170</c:v>
                      </c:pt>
                      <c:pt idx="3">
                        <c:v>165</c:v>
                      </c:pt>
                      <c:pt idx="4">
                        <c:v>175</c:v>
                      </c:pt>
                      <c:pt idx="5">
                        <c:v>280</c:v>
                      </c:pt>
                      <c:pt idx="6">
                        <c:v>390</c:v>
                      </c:pt>
                      <c:pt idx="7">
                        <c:v>385</c:v>
                      </c:pt>
                      <c:pt idx="8">
                        <c:v>395</c:v>
                      </c:pt>
                      <c:pt idx="9">
                        <c:v>300</c:v>
                      </c:pt>
                      <c:pt idx="10">
                        <c:v>110</c:v>
                      </c:pt>
                      <c:pt idx="11">
                        <c:v>120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FE5-48DA-B2CC-75E7444EA9AD}"/>
                  </c:ext>
                </c:extLst>
              </c15:ser>
            </c15:filteredLineSeries>
            <c15:filteredLineSeries>
              <c15:ser>
                <c:idx val="2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коп_форм!$A$3</c15:sqref>
                        </c15:formulaRef>
                      </c:ext>
                    </c:extLst>
                    <c:strCache>
                      <c:ptCount val="1"/>
                      <c:pt idx="0">
                        <c:v>Продукт B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коп_форм!$B$3:$M$3</c15:sqref>
                        </c15:fullRef>
                        <c15:formulaRef>
                          <c15:sqref>коп_форм!$B$3:$M$3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45</c:v>
                      </c:pt>
                      <c:pt idx="2">
                        <c:v>150</c:v>
                      </c:pt>
                      <c:pt idx="3">
                        <c:v>245</c:v>
                      </c:pt>
                      <c:pt idx="4">
                        <c:v>150</c:v>
                      </c:pt>
                      <c:pt idx="5">
                        <c:v>255</c:v>
                      </c:pt>
                      <c:pt idx="6">
                        <c:v>360</c:v>
                      </c:pt>
                      <c:pt idx="7">
                        <c:v>355</c:v>
                      </c:pt>
                      <c:pt idx="8">
                        <c:v>365</c:v>
                      </c:pt>
                      <c:pt idx="9">
                        <c:v>470</c:v>
                      </c:pt>
                      <c:pt idx="10">
                        <c:v>475</c:v>
                      </c:pt>
                      <c:pt idx="11">
                        <c:v>480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FE5-48DA-B2CC-75E7444EA9AD}"/>
                  </c:ext>
                </c:extLst>
              </c15:ser>
            </c15:filteredLineSeries>
            <c15:filteredLineSeries>
              <c15:ser>
                <c:idx val="3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коп_форм!$A$4</c15:sqref>
                        </c15:formulaRef>
                      </c:ext>
                    </c:extLst>
                    <c:strCache>
                      <c:ptCount val="1"/>
                      <c:pt idx="0">
                        <c:v>Продукт C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коп_форм!$B$4:$M$4</c15:sqref>
                        </c15:fullRef>
                        <c15:formulaRef>
                          <c15:sqref>коп_форм!$B$4:$M$4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130</c:v>
                      </c:pt>
                      <c:pt idx="2">
                        <c:v>90</c:v>
                      </c:pt>
                      <c:pt idx="3">
                        <c:v>130</c:v>
                      </c:pt>
                      <c:pt idx="4">
                        <c:v>135</c:v>
                      </c:pt>
                      <c:pt idx="5">
                        <c:v>240</c:v>
                      </c:pt>
                      <c:pt idx="6">
                        <c:v>340</c:v>
                      </c:pt>
                      <c:pt idx="7">
                        <c:v>340</c:v>
                      </c:pt>
                      <c:pt idx="8">
                        <c:v>340</c:v>
                      </c:pt>
                      <c:pt idx="9">
                        <c:v>440</c:v>
                      </c:pt>
                      <c:pt idx="10">
                        <c:v>540</c:v>
                      </c:pt>
                      <c:pt idx="11">
                        <c:v>540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FE5-48DA-B2CC-75E7444EA9AD}"/>
                  </c:ext>
                </c:extLst>
              </c15:ser>
            </c15:filteredLineSeries>
          </c:ext>
        </c:extLst>
      </c:lineChart>
      <c:catAx>
        <c:axId val="294976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59088"/>
        <c:crosses val="autoZero"/>
        <c:auto val="1"/>
        <c:lblAlgn val="ctr"/>
        <c:lblOffset val="100"/>
        <c:noMultiLvlLbl val="0"/>
      </c:catAx>
      <c:valAx>
        <c:axId val="294959088"/>
        <c:scaling>
          <c:orientation val="minMax"/>
          <c:max val="600"/>
        </c:scaling>
        <c:delete val="0"/>
        <c:axPos val="l"/>
        <c:majorGridlines>
          <c:spPr>
            <a:ln w="9525" cap="sq" cmpd="sng" algn="ctr">
              <a:solidFill>
                <a:schemeClr val="tx1">
                  <a:lumMod val="15000"/>
                  <a:lumOff val="85000"/>
                  <a:alpha val="99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768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660033"/>
                </a:solidFill>
              </a:ln>
              <a:solidFill>
                <a:srgbClr val="660033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390524</xdr:colOff>
      <xdr:row>0</xdr:row>
      <xdr:rowOff>133350</xdr:rowOff>
    </xdr:from>
    <xdr:to>
      <xdr:col>11</xdr:col>
      <xdr:colOff>514350</xdr:colOff>
      <xdr:row>13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D2BE5D-60FD-1AEA-2E92-64C1560B2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433387</xdr:colOff>
      <xdr:row>14</xdr:row>
      <xdr:rowOff>9525</xdr:rowOff>
    </xdr:from>
    <xdr:to>
      <xdr:col>11</xdr:col>
      <xdr:colOff>504825</xdr:colOff>
      <xdr:row>28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5137CB4-583D-2275-9F8C-1EBF3D7AF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21</xdr:row>
      <xdr:rowOff>71437</xdr:rowOff>
    </xdr:from>
    <xdr:to>
      <xdr:col>20</xdr:col>
      <xdr:colOff>514351</xdr:colOff>
      <xdr:row>35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8367A8-9E0F-D053-6FB4-F1782206A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</xdr:row>
      <xdr:rowOff>4762</xdr:rowOff>
    </xdr:from>
    <xdr:to>
      <xdr:col>20</xdr:col>
      <xdr:colOff>28575</xdr:colOff>
      <xdr:row>15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BD6F3F4-0405-B743-85B0-6625C7FD1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</xdr:row>
      <xdr:rowOff>23812</xdr:rowOff>
    </xdr:from>
    <xdr:to>
      <xdr:col>16</xdr:col>
      <xdr:colOff>428625</xdr:colOff>
      <xdr:row>17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432DBE-C18B-9FE8-F684-B5213A9F5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128587</xdr:rowOff>
    </xdr:from>
    <xdr:to>
      <xdr:col>10</xdr:col>
      <xdr:colOff>428625</xdr:colOff>
      <xdr:row>13</xdr:row>
      <xdr:rowOff>14287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D9F1C4-A325-AC8E-6D1B-C2C01CB73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42862</xdr:rowOff>
    </xdr:from>
    <xdr:to>
      <xdr:col>18</xdr:col>
      <xdr:colOff>285750</xdr:colOff>
      <xdr:row>20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BF53F2-3CB3-DF03-F0B1-EF3AF3CC1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7</xdr:row>
      <xdr:rowOff>190499</xdr:rowOff>
    </xdr:from>
    <xdr:to>
      <xdr:col>23</xdr:col>
      <xdr:colOff>347662</xdr:colOff>
      <xdr:row>31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5C80EA-29BE-472C-D82E-A572734D6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0</xdr:row>
      <xdr:rowOff>180975</xdr:rowOff>
    </xdr:from>
    <xdr:to>
      <xdr:col>15</xdr:col>
      <xdr:colOff>400050</xdr:colOff>
      <xdr:row>15</xdr:row>
      <xdr:rowOff>23813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7B36CD-CACB-A480-C6FC-55AE92843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18</xdr:row>
      <xdr:rowOff>142875</xdr:rowOff>
    </xdr:from>
    <xdr:to>
      <xdr:col>9</xdr:col>
      <xdr:colOff>438151</xdr:colOff>
      <xdr:row>33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E1EFF1B-3479-5A3B-3E43-F457C4B44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104775</xdr:colOff>
      <xdr:row>17</xdr:row>
      <xdr:rowOff>142875</xdr:rowOff>
    </xdr:from>
    <xdr:to>
      <xdr:col>17</xdr:col>
      <xdr:colOff>381000</xdr:colOff>
      <xdr:row>32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54373B5-5B38-EACA-A4C4-4C839149E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542925</xdr:colOff>
      <xdr:row>26</xdr:row>
      <xdr:rowOff>142875</xdr:rowOff>
    </xdr:from>
    <xdr:to>
      <xdr:col>22</xdr:col>
      <xdr:colOff>209550</xdr:colOff>
      <xdr:row>31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E480CD6-82AF-55C0-2E6A-52EEBF2B4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5276850"/>
          <a:ext cx="33242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180975</xdr:colOff>
      <xdr:row>1</xdr:row>
      <xdr:rowOff>76200</xdr:rowOff>
    </xdr:from>
    <xdr:to>
      <xdr:col>14</xdr:col>
      <xdr:colOff>485775</xdr:colOff>
      <xdr:row>15</xdr:row>
      <xdr:rowOff>171450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4B3234C8-E3D7-CBAD-4425-CB5111E14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4762</xdr:rowOff>
    </xdr:from>
    <xdr:to>
      <xdr:col>7</xdr:col>
      <xdr:colOff>38100</xdr:colOff>
      <xdr:row>20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F11E0B-2C7A-5D72-D3C9-283425C0F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21</xdr:row>
      <xdr:rowOff>23812</xdr:rowOff>
    </xdr:from>
    <xdr:to>
      <xdr:col>7</xdr:col>
      <xdr:colOff>19050</xdr:colOff>
      <xdr:row>35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71EDABC-5A84-5CF4-9750-4DB75F8BD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8DD9-F455-4DD4-999B-AB544F1635A7}">
  <dimension ref="A2:N22"/>
  <sheetViews>
    <sheetView tabSelected="1" workbookViewId="0">
      <selection activeCell="F29" sqref="F29"/>
    </sheetView>
  </sheetViews>
  <sheetFormatPr defaultRowHeight="15" x14ac:dyDescent="0.25"/>
  <sheetData>
    <row r="2" spans="1:14" x14ac:dyDescent="0.25">
      <c r="A2" s="38" t="s">
        <v>16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5">
      <c r="A5" s="38" t="s">
        <v>18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ht="15" customHeight="1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x14ac:dyDescent="0.25">
      <c r="A8" s="38" t="s">
        <v>19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ht="32.25" customHeigh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 x14ac:dyDescent="0.25">
      <c r="A11" s="38" t="s">
        <v>20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x14ac:dyDescent="0.25">
      <c r="A14" s="38" t="s">
        <v>21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x14ac:dyDescent="0.25">
      <c r="A17" s="38" t="s">
        <v>22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4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4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1:14" x14ac:dyDescent="0.25">
      <c r="A20" s="36" t="s">
        <v>17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</sheetData>
  <mergeCells count="7">
    <mergeCell ref="A20:N22"/>
    <mergeCell ref="A2:N4"/>
    <mergeCell ref="A5:N7"/>
    <mergeCell ref="A8:N10"/>
    <mergeCell ref="A11:N13"/>
    <mergeCell ref="A14:N16"/>
    <mergeCell ref="A17:N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6480-3940-4A8C-9FD4-B2010C8094C0}">
  <sheetPr codeName="Лист1"/>
  <dimension ref="A1:T28"/>
  <sheetViews>
    <sheetView workbookViewId="0">
      <selection activeCell="Q10" sqref="Q10"/>
    </sheetView>
  </sheetViews>
  <sheetFormatPr defaultRowHeight="15" x14ac:dyDescent="0.25"/>
  <cols>
    <col min="1" max="2" width="15.28515625" customWidth="1"/>
    <col min="3" max="3" width="9.140625" customWidth="1"/>
    <col min="39" max="39" width="9.140625" customWidth="1"/>
  </cols>
  <sheetData>
    <row r="1" spans="1:19" ht="34.5" customHeight="1" x14ac:dyDescent="0.25">
      <c r="A1" s="1" t="s">
        <v>0</v>
      </c>
      <c r="B1" s="1" t="s">
        <v>1</v>
      </c>
    </row>
    <row r="2" spans="1:19" ht="18.75" x14ac:dyDescent="0.3">
      <c r="A2" s="2" t="s">
        <v>2</v>
      </c>
      <c r="B2" s="2">
        <v>120</v>
      </c>
      <c r="M2" s="4" t="s">
        <v>14</v>
      </c>
    </row>
    <row r="3" spans="1:19" ht="23.25" x14ac:dyDescent="0.25">
      <c r="A3" s="3" t="s">
        <v>3</v>
      </c>
      <c r="B3" s="3">
        <v>135</v>
      </c>
      <c r="M3" s="5" t="s">
        <v>15</v>
      </c>
    </row>
    <row r="4" spans="1:19" x14ac:dyDescent="0.25">
      <c r="A4" s="2" t="s">
        <v>4</v>
      </c>
      <c r="B4" s="2">
        <v>150</v>
      </c>
    </row>
    <row r="5" spans="1:19" x14ac:dyDescent="0.25">
      <c r="A5" s="3" t="s">
        <v>5</v>
      </c>
      <c r="B5" s="3">
        <v>140</v>
      </c>
      <c r="M5" s="38" t="s">
        <v>28</v>
      </c>
      <c r="N5" s="39"/>
      <c r="O5" s="39"/>
      <c r="P5" s="39"/>
      <c r="Q5" s="39"/>
      <c r="R5" s="39"/>
      <c r="S5" s="39"/>
    </row>
    <row r="6" spans="1:19" x14ac:dyDescent="0.25">
      <c r="A6" s="2" t="s">
        <v>6</v>
      </c>
      <c r="B6" s="2">
        <v>160</v>
      </c>
      <c r="M6" s="39"/>
      <c r="N6" s="39"/>
      <c r="O6" s="39"/>
      <c r="P6" s="39"/>
      <c r="Q6" s="39"/>
      <c r="R6" s="39"/>
      <c r="S6" s="39"/>
    </row>
    <row r="7" spans="1:19" x14ac:dyDescent="0.25">
      <c r="A7" s="3" t="s">
        <v>7</v>
      </c>
      <c r="B7" s="3">
        <v>175</v>
      </c>
    </row>
    <row r="8" spans="1:19" x14ac:dyDescent="0.25">
      <c r="A8" s="2" t="s">
        <v>8</v>
      </c>
      <c r="B8" s="2">
        <v>190</v>
      </c>
    </row>
    <row r="9" spans="1:19" x14ac:dyDescent="0.25">
      <c r="A9" s="3" t="s">
        <v>9</v>
      </c>
      <c r="B9" s="3">
        <v>180</v>
      </c>
    </row>
    <row r="10" spans="1:19" x14ac:dyDescent="0.25">
      <c r="A10" s="2" t="s">
        <v>10</v>
      </c>
      <c r="B10" s="2">
        <v>200</v>
      </c>
    </row>
    <row r="11" spans="1:19" x14ac:dyDescent="0.25">
      <c r="A11" s="3" t="s">
        <v>11</v>
      </c>
      <c r="B11" s="3">
        <v>210</v>
      </c>
    </row>
    <row r="12" spans="1:19" x14ac:dyDescent="0.25">
      <c r="A12" s="2" t="s">
        <v>12</v>
      </c>
      <c r="B12" s="2">
        <v>225</v>
      </c>
    </row>
    <row r="13" spans="1:19" x14ac:dyDescent="0.25">
      <c r="A13" s="3" t="s">
        <v>13</v>
      </c>
      <c r="B13" s="3">
        <v>240</v>
      </c>
    </row>
    <row r="14" spans="1:19" x14ac:dyDescent="0.25">
      <c r="B14">
        <f>SUM(B2:B13)</f>
        <v>2125</v>
      </c>
    </row>
    <row r="17" spans="13:20" ht="23.25" x14ac:dyDescent="0.25">
      <c r="M17" s="5" t="s">
        <v>26</v>
      </c>
    </row>
    <row r="19" spans="13:20" x14ac:dyDescent="0.25">
      <c r="M19" s="38" t="s">
        <v>29</v>
      </c>
      <c r="N19" s="39"/>
      <c r="O19" s="39"/>
      <c r="P19" s="39"/>
      <c r="Q19" s="39"/>
      <c r="R19" s="39"/>
      <c r="S19" s="39"/>
      <c r="T19" s="39"/>
    </row>
    <row r="20" spans="13:20" x14ac:dyDescent="0.25">
      <c r="M20" s="39"/>
      <c r="N20" s="39"/>
      <c r="O20" s="39"/>
      <c r="P20" s="39"/>
      <c r="Q20" s="39"/>
      <c r="R20" s="39"/>
      <c r="S20" s="39"/>
      <c r="T20" s="39"/>
    </row>
    <row r="25" spans="13:20" x14ac:dyDescent="0.25">
      <c r="M25" s="6" t="s">
        <v>23</v>
      </c>
    </row>
    <row r="26" spans="13:20" x14ac:dyDescent="0.25">
      <c r="M26" s="6" t="s">
        <v>27</v>
      </c>
    </row>
    <row r="27" spans="13:20" x14ac:dyDescent="0.25">
      <c r="M27" s="6" t="s">
        <v>24</v>
      </c>
    </row>
    <row r="28" spans="13:20" x14ac:dyDescent="0.25">
      <c r="M28" s="6" t="s">
        <v>25</v>
      </c>
    </row>
  </sheetData>
  <mergeCells count="2">
    <mergeCell ref="M19:T20"/>
    <mergeCell ref="M5:S6"/>
  </mergeCells>
  <conditionalFormatting sqref="E2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22:E2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F2D6-3AE1-43C1-B764-71B437CF7105}">
  <dimension ref="A1:S34"/>
  <sheetViews>
    <sheetView workbookViewId="0">
      <selection activeCell="G2" sqref="G2"/>
    </sheetView>
  </sheetViews>
  <sheetFormatPr defaultRowHeight="15" x14ac:dyDescent="0.25"/>
  <cols>
    <col min="1" max="2" width="9.140625" style="11"/>
    <col min="3" max="3" width="13" style="11" customWidth="1"/>
    <col min="4" max="4" width="11.42578125" style="11" customWidth="1"/>
    <col min="5" max="16384" width="9.140625" style="11"/>
  </cols>
  <sheetData>
    <row r="1" spans="1:19" ht="27" x14ac:dyDescent="0.25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N1" s="13" t="s">
        <v>58</v>
      </c>
      <c r="S1" s="27" t="s">
        <v>97</v>
      </c>
    </row>
    <row r="2" spans="1:19" x14ac:dyDescent="0.25">
      <c r="A2" s="7" t="s">
        <v>38</v>
      </c>
      <c r="B2" s="7" t="s">
        <v>39</v>
      </c>
      <c r="C2" s="8">
        <v>42005</v>
      </c>
      <c r="D2" s="7" t="s">
        <v>40</v>
      </c>
      <c r="E2" s="7">
        <v>954</v>
      </c>
      <c r="F2" s="7">
        <v>22810</v>
      </c>
      <c r="G2" s="7">
        <v>10213</v>
      </c>
      <c r="H2" s="7">
        <v>12597</v>
      </c>
    </row>
    <row r="3" spans="1:19" x14ac:dyDescent="0.25">
      <c r="A3" s="9" t="s">
        <v>41</v>
      </c>
      <c r="B3" s="9" t="s">
        <v>42</v>
      </c>
      <c r="C3" s="10">
        <v>42006</v>
      </c>
      <c r="D3" s="9" t="s">
        <v>43</v>
      </c>
      <c r="E3" s="9">
        <v>124</v>
      </c>
      <c r="F3" s="9">
        <v>2257</v>
      </c>
      <c r="G3" s="9">
        <v>998</v>
      </c>
      <c r="H3" s="9">
        <v>1259</v>
      </c>
    </row>
    <row r="4" spans="1:19" x14ac:dyDescent="0.25">
      <c r="A4" s="7" t="s">
        <v>38</v>
      </c>
      <c r="B4" s="7" t="s">
        <v>39</v>
      </c>
      <c r="C4" s="8">
        <v>42008</v>
      </c>
      <c r="D4" s="7" t="s">
        <v>44</v>
      </c>
      <c r="E4" s="7">
        <v>425</v>
      </c>
      <c r="F4" s="7">
        <v>9152</v>
      </c>
      <c r="G4" s="7">
        <v>4083</v>
      </c>
      <c r="H4" s="7">
        <v>5069</v>
      </c>
    </row>
    <row r="5" spans="1:19" x14ac:dyDescent="0.25">
      <c r="A5" s="9" t="s">
        <v>38</v>
      </c>
      <c r="B5" s="9" t="s">
        <v>42</v>
      </c>
      <c r="C5" s="10">
        <v>42008</v>
      </c>
      <c r="D5" s="9" t="s">
        <v>45</v>
      </c>
      <c r="E5" s="9">
        <v>773</v>
      </c>
      <c r="F5" s="9">
        <v>18552</v>
      </c>
      <c r="G5" s="9">
        <v>7883</v>
      </c>
      <c r="H5" s="9">
        <v>10669</v>
      </c>
    </row>
    <row r="6" spans="1:19" x14ac:dyDescent="0.25">
      <c r="A6" s="7" t="s">
        <v>38</v>
      </c>
      <c r="B6" s="7" t="s">
        <v>46</v>
      </c>
      <c r="C6" s="8">
        <v>42011</v>
      </c>
      <c r="D6" s="7" t="s">
        <v>47</v>
      </c>
      <c r="E6" s="7">
        <v>401</v>
      </c>
      <c r="F6" s="7">
        <v>8456</v>
      </c>
      <c r="G6" s="7">
        <v>3389</v>
      </c>
      <c r="H6" s="7">
        <v>5067</v>
      </c>
    </row>
    <row r="7" spans="1:19" x14ac:dyDescent="0.25">
      <c r="A7" s="9" t="s">
        <v>38</v>
      </c>
      <c r="B7" s="9" t="s">
        <v>42</v>
      </c>
      <c r="C7" s="10">
        <v>42011</v>
      </c>
      <c r="D7" s="9" t="s">
        <v>48</v>
      </c>
      <c r="E7" s="9">
        <v>1035</v>
      </c>
      <c r="F7" s="9">
        <v>21730</v>
      </c>
      <c r="G7" s="9">
        <v>9839</v>
      </c>
      <c r="H7" s="9">
        <v>11891</v>
      </c>
    </row>
    <row r="8" spans="1:19" x14ac:dyDescent="0.25">
      <c r="A8" s="7" t="s">
        <v>41</v>
      </c>
      <c r="B8" s="7" t="s">
        <v>46</v>
      </c>
      <c r="C8" s="8">
        <v>42013</v>
      </c>
      <c r="D8" s="7" t="s">
        <v>47</v>
      </c>
      <c r="E8" s="7">
        <v>750</v>
      </c>
      <c r="F8" s="7">
        <v>16416</v>
      </c>
      <c r="G8" s="7">
        <v>6768</v>
      </c>
      <c r="H8" s="7">
        <v>9648</v>
      </c>
    </row>
    <row r="9" spans="1:19" x14ac:dyDescent="0.25">
      <c r="A9" s="9" t="s">
        <v>41</v>
      </c>
      <c r="B9" s="9" t="s">
        <v>39</v>
      </c>
      <c r="C9" s="10">
        <v>42014</v>
      </c>
      <c r="D9" s="9" t="s">
        <v>49</v>
      </c>
      <c r="E9" s="9">
        <v>901</v>
      </c>
      <c r="F9" s="9">
        <v>21438</v>
      </c>
      <c r="G9" s="9">
        <v>9209</v>
      </c>
      <c r="H9" s="9">
        <v>12229</v>
      </c>
    </row>
    <row r="10" spans="1:19" x14ac:dyDescent="0.25">
      <c r="A10" s="7" t="s">
        <v>41</v>
      </c>
      <c r="B10" s="7" t="s">
        <v>46</v>
      </c>
      <c r="C10" s="8">
        <v>42016</v>
      </c>
      <c r="D10" s="7" t="s">
        <v>50</v>
      </c>
      <c r="E10" s="7">
        <v>342</v>
      </c>
      <c r="F10" s="7">
        <v>6267</v>
      </c>
      <c r="G10" s="7">
        <v>2541</v>
      </c>
      <c r="H10" s="7">
        <v>3726</v>
      </c>
    </row>
    <row r="11" spans="1:19" x14ac:dyDescent="0.25">
      <c r="A11" s="9" t="s">
        <v>38</v>
      </c>
      <c r="B11" s="9" t="s">
        <v>39</v>
      </c>
      <c r="C11" s="10">
        <v>42018</v>
      </c>
      <c r="D11" s="9" t="s">
        <v>51</v>
      </c>
      <c r="E11" s="9">
        <v>91</v>
      </c>
      <c r="F11" s="9">
        <v>2401</v>
      </c>
      <c r="G11" s="9">
        <v>1031</v>
      </c>
      <c r="H11" s="9">
        <v>1370</v>
      </c>
    </row>
    <row r="12" spans="1:19" x14ac:dyDescent="0.25">
      <c r="A12" s="7" t="s">
        <v>38</v>
      </c>
      <c r="B12" s="7" t="s">
        <v>46</v>
      </c>
      <c r="C12" s="8">
        <v>42019</v>
      </c>
      <c r="D12" s="7" t="s">
        <v>43</v>
      </c>
      <c r="E12" s="7">
        <v>547</v>
      </c>
      <c r="F12" s="7">
        <v>9345</v>
      </c>
      <c r="G12" s="7">
        <v>4239</v>
      </c>
      <c r="H12" s="7">
        <v>5106</v>
      </c>
    </row>
    <row r="13" spans="1:19" x14ac:dyDescent="0.25">
      <c r="A13" s="9" t="s">
        <v>38</v>
      </c>
      <c r="B13" s="9" t="s">
        <v>46</v>
      </c>
      <c r="C13" s="10">
        <v>42020</v>
      </c>
      <c r="D13" s="9" t="s">
        <v>52</v>
      </c>
      <c r="E13" s="9">
        <v>558</v>
      </c>
      <c r="F13" s="9">
        <v>11628</v>
      </c>
      <c r="G13" s="9">
        <v>5093</v>
      </c>
      <c r="H13" s="9">
        <v>6535</v>
      </c>
    </row>
    <row r="14" spans="1:19" x14ac:dyDescent="0.25">
      <c r="A14" s="7" t="s">
        <v>53</v>
      </c>
      <c r="B14" s="7" t="s">
        <v>42</v>
      </c>
      <c r="C14" s="8">
        <v>42023</v>
      </c>
      <c r="D14" s="7" t="s">
        <v>43</v>
      </c>
      <c r="E14" s="7">
        <v>100</v>
      </c>
      <c r="F14" s="7">
        <v>2042</v>
      </c>
      <c r="G14" s="7">
        <v>983</v>
      </c>
      <c r="H14" s="7">
        <v>1059</v>
      </c>
    </row>
    <row r="15" spans="1:19" x14ac:dyDescent="0.25">
      <c r="A15" s="9" t="s">
        <v>53</v>
      </c>
      <c r="B15" s="9" t="s">
        <v>46</v>
      </c>
      <c r="C15" s="10">
        <v>42025</v>
      </c>
      <c r="D15" s="9" t="s">
        <v>45</v>
      </c>
      <c r="E15" s="9">
        <v>250</v>
      </c>
      <c r="F15" s="9">
        <v>3552</v>
      </c>
      <c r="G15" s="9">
        <v>1696</v>
      </c>
      <c r="H15" s="9">
        <v>1856</v>
      </c>
    </row>
    <row r="16" spans="1:19" x14ac:dyDescent="0.25">
      <c r="A16" s="7" t="s">
        <v>38</v>
      </c>
      <c r="B16" s="7" t="s">
        <v>46</v>
      </c>
      <c r="C16" s="8">
        <v>42025</v>
      </c>
      <c r="D16" s="7" t="s">
        <v>54</v>
      </c>
      <c r="E16" s="7">
        <v>760</v>
      </c>
      <c r="F16" s="7">
        <v>14440</v>
      </c>
      <c r="G16" s="7">
        <v>6790</v>
      </c>
      <c r="H16" s="7">
        <v>7650</v>
      </c>
    </row>
    <row r="17" spans="1:14" x14ac:dyDescent="0.25">
      <c r="A17" s="9" t="s">
        <v>53</v>
      </c>
      <c r="B17" s="9" t="s">
        <v>46</v>
      </c>
      <c r="C17" s="10">
        <v>42027</v>
      </c>
      <c r="D17" s="9" t="s">
        <v>47</v>
      </c>
      <c r="E17" s="9">
        <v>810</v>
      </c>
      <c r="F17" s="9">
        <v>14592</v>
      </c>
      <c r="G17" s="9">
        <v>6781</v>
      </c>
      <c r="H17" s="9">
        <v>7811</v>
      </c>
      <c r="I17" s="26">
        <v>1</v>
      </c>
      <c r="J17" s="25" t="s">
        <v>93</v>
      </c>
    </row>
    <row r="18" spans="1:14" x14ac:dyDescent="0.25">
      <c r="A18" s="7" t="s">
        <v>38</v>
      </c>
      <c r="B18" s="7" t="s">
        <v>46</v>
      </c>
      <c r="C18" s="8">
        <v>42028</v>
      </c>
      <c r="D18" s="7" t="s">
        <v>50</v>
      </c>
      <c r="E18" s="7">
        <v>606</v>
      </c>
      <c r="F18" s="7">
        <v>12606</v>
      </c>
      <c r="G18" s="7">
        <v>5090</v>
      </c>
      <c r="H18" s="7">
        <v>7516</v>
      </c>
      <c r="I18" s="26">
        <v>2</v>
      </c>
      <c r="J18" s="25" t="s">
        <v>96</v>
      </c>
    </row>
    <row r="19" spans="1:14" x14ac:dyDescent="0.25">
      <c r="A19" s="9" t="s">
        <v>41</v>
      </c>
      <c r="B19" s="9" t="s">
        <v>46</v>
      </c>
      <c r="C19" s="10">
        <v>42029</v>
      </c>
      <c r="D19" s="9" t="s">
        <v>52</v>
      </c>
      <c r="E19" s="9">
        <v>964</v>
      </c>
      <c r="F19" s="9">
        <v>20770</v>
      </c>
      <c r="G19" s="9">
        <v>8463</v>
      </c>
      <c r="H19" s="9">
        <v>12307</v>
      </c>
      <c r="I19" s="26">
        <v>3</v>
      </c>
      <c r="J19" s="25" t="s">
        <v>94</v>
      </c>
    </row>
    <row r="20" spans="1:14" x14ac:dyDescent="0.25">
      <c r="A20" s="7" t="s">
        <v>38</v>
      </c>
      <c r="B20" s="7" t="s">
        <v>46</v>
      </c>
      <c r="C20" s="8">
        <v>42030</v>
      </c>
      <c r="D20" s="7" t="s">
        <v>50</v>
      </c>
      <c r="E20" s="7">
        <v>365</v>
      </c>
      <c r="F20" s="7">
        <v>8128</v>
      </c>
      <c r="G20" s="7">
        <v>3400</v>
      </c>
      <c r="H20" s="7">
        <v>4728</v>
      </c>
      <c r="I20" s="26">
        <v>4</v>
      </c>
      <c r="J20" s="25" t="s">
        <v>95</v>
      </c>
    </row>
    <row r="21" spans="1:14" ht="27" x14ac:dyDescent="0.25">
      <c r="A21" s="9" t="s">
        <v>38</v>
      </c>
      <c r="B21" s="9" t="s">
        <v>46</v>
      </c>
      <c r="C21" s="10">
        <v>42033</v>
      </c>
      <c r="D21" s="9" t="s">
        <v>44</v>
      </c>
      <c r="E21" s="9">
        <v>389</v>
      </c>
      <c r="F21" s="9">
        <v>7136</v>
      </c>
      <c r="G21" s="9">
        <v>3403</v>
      </c>
      <c r="H21" s="9">
        <v>3733</v>
      </c>
      <c r="N21" s="14" t="s">
        <v>59</v>
      </c>
    </row>
    <row r="22" spans="1:14" x14ac:dyDescent="0.25">
      <c r="A22" s="7" t="s">
        <v>38</v>
      </c>
      <c r="B22" s="7" t="s">
        <v>42</v>
      </c>
      <c r="C22" s="8">
        <v>42033</v>
      </c>
      <c r="D22" s="7" t="s">
        <v>47</v>
      </c>
      <c r="E22" s="7">
        <v>652</v>
      </c>
      <c r="F22" s="7">
        <v>17150</v>
      </c>
      <c r="G22" s="7">
        <v>6888</v>
      </c>
      <c r="H22" s="7">
        <v>10262</v>
      </c>
    </row>
    <row r="23" spans="1:14" x14ac:dyDescent="0.25">
      <c r="A23" s="9" t="s">
        <v>38</v>
      </c>
      <c r="B23" s="9" t="s">
        <v>42</v>
      </c>
      <c r="C23" s="10">
        <v>42034</v>
      </c>
      <c r="D23" s="9" t="s">
        <v>49</v>
      </c>
      <c r="E23" s="9">
        <v>338</v>
      </c>
      <c r="F23" s="9">
        <v>6714</v>
      </c>
      <c r="G23" s="9">
        <v>2967</v>
      </c>
      <c r="H23" s="9">
        <v>3747</v>
      </c>
    </row>
    <row r="24" spans="1:14" x14ac:dyDescent="0.25">
      <c r="A24" s="7" t="s">
        <v>38</v>
      </c>
      <c r="B24" s="7" t="s">
        <v>46</v>
      </c>
      <c r="C24" s="8">
        <v>42035</v>
      </c>
      <c r="D24" s="7" t="s">
        <v>47</v>
      </c>
      <c r="E24" s="7">
        <v>766</v>
      </c>
      <c r="F24" s="7">
        <v>15640</v>
      </c>
      <c r="G24" s="7">
        <v>6782</v>
      </c>
      <c r="H24" s="7">
        <v>8858</v>
      </c>
    </row>
    <row r="25" spans="1:14" x14ac:dyDescent="0.25">
      <c r="A25" s="9" t="s">
        <v>53</v>
      </c>
      <c r="B25" s="9" t="s">
        <v>46</v>
      </c>
      <c r="C25" s="10">
        <v>42036</v>
      </c>
      <c r="D25" s="9" t="s">
        <v>49</v>
      </c>
      <c r="E25" s="9">
        <v>346</v>
      </c>
      <c r="F25" s="9">
        <v>5532</v>
      </c>
      <c r="G25" s="9">
        <v>2541</v>
      </c>
      <c r="H25" s="9">
        <v>2991</v>
      </c>
    </row>
    <row r="26" spans="1:14" x14ac:dyDescent="0.25">
      <c r="A26" s="7" t="s">
        <v>53</v>
      </c>
      <c r="B26" s="7" t="s">
        <v>42</v>
      </c>
      <c r="C26" s="8">
        <v>42038</v>
      </c>
      <c r="D26" s="7" t="s">
        <v>43</v>
      </c>
      <c r="E26" s="7">
        <v>817</v>
      </c>
      <c r="F26" s="7">
        <v>17160</v>
      </c>
      <c r="G26" s="7">
        <v>7864</v>
      </c>
      <c r="H26" s="7">
        <v>9296</v>
      </c>
    </row>
    <row r="27" spans="1:14" x14ac:dyDescent="0.25">
      <c r="A27" s="9" t="s">
        <v>38</v>
      </c>
      <c r="B27" s="9" t="s">
        <v>42</v>
      </c>
      <c r="C27" s="10">
        <v>42041</v>
      </c>
      <c r="D27" s="9" t="s">
        <v>55</v>
      </c>
      <c r="E27" s="9">
        <v>902</v>
      </c>
      <c r="F27" s="9">
        <v>21708</v>
      </c>
      <c r="G27" s="9">
        <v>8866</v>
      </c>
      <c r="H27" s="9">
        <v>12842</v>
      </c>
    </row>
    <row r="28" spans="1:14" x14ac:dyDescent="0.25">
      <c r="A28" s="7" t="s">
        <v>53</v>
      </c>
      <c r="B28" s="7" t="s">
        <v>46</v>
      </c>
      <c r="C28" s="8">
        <v>42042</v>
      </c>
      <c r="D28" s="7" t="s">
        <v>50</v>
      </c>
      <c r="E28" s="7">
        <v>985</v>
      </c>
      <c r="F28" s="7">
        <v>19890</v>
      </c>
      <c r="G28" s="7">
        <v>8467</v>
      </c>
      <c r="H28" s="7">
        <v>11423</v>
      </c>
    </row>
    <row r="29" spans="1:14" x14ac:dyDescent="0.25">
      <c r="A29" s="9" t="s">
        <v>41</v>
      </c>
      <c r="B29" s="9" t="s">
        <v>46</v>
      </c>
      <c r="C29" s="10">
        <v>42043</v>
      </c>
      <c r="D29" s="9" t="s">
        <v>52</v>
      </c>
      <c r="E29" s="9">
        <v>116</v>
      </c>
      <c r="F29" s="9">
        <v>1817</v>
      </c>
      <c r="G29" s="9">
        <v>838</v>
      </c>
      <c r="H29" s="9">
        <v>979</v>
      </c>
    </row>
    <row r="30" spans="1:14" x14ac:dyDescent="0.25">
      <c r="A30" s="7" t="s">
        <v>41</v>
      </c>
      <c r="B30" s="7" t="s">
        <v>46</v>
      </c>
      <c r="C30" s="8">
        <v>42044</v>
      </c>
      <c r="D30" s="7" t="s">
        <v>47</v>
      </c>
      <c r="E30" s="7">
        <v>330</v>
      </c>
      <c r="F30" s="7">
        <v>5157</v>
      </c>
      <c r="G30" s="7">
        <v>2554</v>
      </c>
      <c r="H30" s="7">
        <v>2603</v>
      </c>
    </row>
    <row r="31" spans="1:14" x14ac:dyDescent="0.25">
      <c r="A31" s="9" t="s">
        <v>38</v>
      </c>
      <c r="B31" s="9" t="s">
        <v>42</v>
      </c>
      <c r="C31" s="10">
        <v>42049</v>
      </c>
      <c r="D31" s="9" t="s">
        <v>52</v>
      </c>
      <c r="E31" s="9">
        <v>706</v>
      </c>
      <c r="F31" s="9">
        <v>13867</v>
      </c>
      <c r="G31" s="9">
        <v>6895</v>
      </c>
      <c r="H31" s="9">
        <v>6972</v>
      </c>
    </row>
    <row r="32" spans="1:14" x14ac:dyDescent="0.25">
      <c r="A32" s="7" t="s">
        <v>38</v>
      </c>
      <c r="B32" s="7" t="s">
        <v>39</v>
      </c>
      <c r="C32" s="8">
        <v>42051</v>
      </c>
      <c r="D32" s="7" t="s">
        <v>56</v>
      </c>
      <c r="E32" s="7">
        <v>780</v>
      </c>
      <c r="F32" s="7">
        <v>16936</v>
      </c>
      <c r="G32" s="7">
        <v>8182</v>
      </c>
      <c r="H32" s="7">
        <v>8754</v>
      </c>
    </row>
    <row r="33" spans="1:8" x14ac:dyDescent="0.25">
      <c r="A33" s="9" t="s">
        <v>38</v>
      </c>
      <c r="B33" s="9" t="s">
        <v>46</v>
      </c>
      <c r="C33" s="10">
        <v>42052</v>
      </c>
      <c r="D33" s="9" t="s">
        <v>57</v>
      </c>
      <c r="E33" s="9">
        <v>624</v>
      </c>
      <c r="F33" s="9">
        <v>11430</v>
      </c>
      <c r="G33" s="9">
        <v>5095</v>
      </c>
      <c r="H33" s="9">
        <v>6335</v>
      </c>
    </row>
    <row r="34" spans="1:8" x14ac:dyDescent="0.25">
      <c r="A34" s="7" t="s">
        <v>53</v>
      </c>
      <c r="B34" s="7" t="s">
        <v>46</v>
      </c>
      <c r="C34" s="8">
        <v>42053</v>
      </c>
      <c r="D34" s="7" t="s">
        <v>49</v>
      </c>
      <c r="E34" s="7">
        <v>1020</v>
      </c>
      <c r="F34" s="7">
        <v>20250</v>
      </c>
      <c r="G34" s="7">
        <v>8466</v>
      </c>
      <c r="H34" s="7">
        <v>11784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E3B9-A289-4C70-8A89-3BB69E41CCA7}">
  <dimension ref="A1:T44"/>
  <sheetViews>
    <sheetView zoomScale="115" zoomScaleNormal="115" workbookViewId="0">
      <selection activeCell="F14" sqref="A1:F14"/>
    </sheetView>
  </sheetViews>
  <sheetFormatPr defaultRowHeight="15" x14ac:dyDescent="0.25"/>
  <cols>
    <col min="1" max="1" width="13.7109375" customWidth="1"/>
  </cols>
  <sheetData>
    <row r="1" spans="1:20" x14ac:dyDescent="0.25">
      <c r="A1" s="19" t="s">
        <v>0</v>
      </c>
      <c r="B1" s="19" t="s">
        <v>61</v>
      </c>
      <c r="C1" s="19" t="s">
        <v>62</v>
      </c>
      <c r="D1" s="19" t="s">
        <v>63</v>
      </c>
      <c r="E1" s="18" t="s">
        <v>67</v>
      </c>
      <c r="F1" s="15" t="s">
        <v>68</v>
      </c>
    </row>
    <row r="2" spans="1:20" ht="24.75" x14ac:dyDescent="0.5">
      <c r="A2" s="15" t="s">
        <v>2</v>
      </c>
      <c r="B2" s="15">
        <v>50</v>
      </c>
      <c r="C2" s="15">
        <v>40</v>
      </c>
      <c r="D2" s="15">
        <v>30</v>
      </c>
      <c r="E2" s="15">
        <f>SUM(B2:D2)</f>
        <v>120</v>
      </c>
      <c r="F2" s="21">
        <f>E2/$E$14</f>
        <v>5.647058823529412E-2</v>
      </c>
      <c r="S2" s="28" t="s">
        <v>121</v>
      </c>
    </row>
    <row r="3" spans="1:20" x14ac:dyDescent="0.25">
      <c r="A3" s="15" t="s">
        <v>3</v>
      </c>
      <c r="B3" s="15">
        <v>60</v>
      </c>
      <c r="C3" s="15">
        <v>45</v>
      </c>
      <c r="D3" s="15">
        <v>30</v>
      </c>
      <c r="E3" s="15">
        <f t="shared" ref="E3:E14" si="0">SUM(B3:D3)</f>
        <v>135</v>
      </c>
      <c r="F3" s="21">
        <f t="shared" ref="F3:F14" si="1">E3/$E$14</f>
        <v>6.3529411764705876E-2</v>
      </c>
    </row>
    <row r="4" spans="1:20" x14ac:dyDescent="0.25">
      <c r="A4" s="15" t="s">
        <v>4</v>
      </c>
      <c r="B4" s="15">
        <v>70</v>
      </c>
      <c r="C4" s="15">
        <v>50</v>
      </c>
      <c r="D4" s="15">
        <v>30</v>
      </c>
      <c r="E4" s="15">
        <f t="shared" si="0"/>
        <v>150</v>
      </c>
      <c r="F4" s="21">
        <f t="shared" si="1"/>
        <v>7.0588235294117646E-2</v>
      </c>
    </row>
    <row r="5" spans="1:20" x14ac:dyDescent="0.25">
      <c r="A5" s="15" t="s">
        <v>5</v>
      </c>
      <c r="B5" s="15">
        <v>65</v>
      </c>
      <c r="C5" s="15">
        <v>45</v>
      </c>
      <c r="D5" s="15">
        <v>30</v>
      </c>
      <c r="E5" s="15">
        <f t="shared" si="0"/>
        <v>140</v>
      </c>
      <c r="F5" s="21">
        <f t="shared" si="1"/>
        <v>6.5882352941176475E-2</v>
      </c>
      <c r="S5" s="23" t="s">
        <v>69</v>
      </c>
    </row>
    <row r="6" spans="1:20" x14ac:dyDescent="0.25">
      <c r="A6" s="15" t="s">
        <v>6</v>
      </c>
      <c r="B6" s="15">
        <v>75</v>
      </c>
      <c r="C6" s="15">
        <v>50</v>
      </c>
      <c r="D6" s="15">
        <v>35</v>
      </c>
      <c r="E6" s="15">
        <f t="shared" si="0"/>
        <v>160</v>
      </c>
      <c r="F6" s="21">
        <f t="shared" si="1"/>
        <v>7.5294117647058817E-2</v>
      </c>
      <c r="S6">
        <v>1</v>
      </c>
      <c r="T6" s="23" t="s">
        <v>122</v>
      </c>
    </row>
    <row r="7" spans="1:20" x14ac:dyDescent="0.25">
      <c r="A7" s="15" t="s">
        <v>7</v>
      </c>
      <c r="B7" s="15">
        <v>80</v>
      </c>
      <c r="C7" s="15">
        <v>55</v>
      </c>
      <c r="D7" s="15">
        <v>40</v>
      </c>
      <c r="E7" s="15">
        <f t="shared" si="0"/>
        <v>175</v>
      </c>
      <c r="F7" s="21">
        <f t="shared" si="1"/>
        <v>8.2352941176470587E-2</v>
      </c>
      <c r="S7">
        <v>2</v>
      </c>
      <c r="T7" s="23" t="s">
        <v>123</v>
      </c>
    </row>
    <row r="8" spans="1:20" x14ac:dyDescent="0.25">
      <c r="A8" s="15" t="s">
        <v>8</v>
      </c>
      <c r="B8" s="15">
        <v>90</v>
      </c>
      <c r="C8" s="15">
        <v>60</v>
      </c>
      <c r="D8" s="15">
        <v>40</v>
      </c>
      <c r="E8" s="15">
        <f t="shared" si="0"/>
        <v>190</v>
      </c>
      <c r="F8" s="21">
        <f t="shared" si="1"/>
        <v>8.9411764705882357E-2</v>
      </c>
    </row>
    <row r="9" spans="1:20" x14ac:dyDescent="0.25">
      <c r="A9" s="15" t="s">
        <v>9</v>
      </c>
      <c r="B9" s="15">
        <v>85</v>
      </c>
      <c r="C9" s="15">
        <v>55</v>
      </c>
      <c r="D9" s="15">
        <v>40</v>
      </c>
      <c r="E9" s="15">
        <f t="shared" si="0"/>
        <v>180</v>
      </c>
      <c r="F9" s="21">
        <f t="shared" si="1"/>
        <v>8.4705882352941173E-2</v>
      </c>
    </row>
    <row r="10" spans="1:20" x14ac:dyDescent="0.25">
      <c r="A10" s="15" t="s">
        <v>10</v>
      </c>
      <c r="B10" s="15">
        <v>95</v>
      </c>
      <c r="C10" s="15">
        <v>65</v>
      </c>
      <c r="D10" s="15">
        <v>40</v>
      </c>
      <c r="E10" s="15">
        <f t="shared" si="0"/>
        <v>200</v>
      </c>
      <c r="F10" s="21">
        <f t="shared" si="1"/>
        <v>9.4117647058823528E-2</v>
      </c>
    </row>
    <row r="11" spans="1:20" x14ac:dyDescent="0.25">
      <c r="A11" s="15" t="s">
        <v>11</v>
      </c>
      <c r="B11" s="15">
        <v>100</v>
      </c>
      <c r="C11" s="15">
        <v>70</v>
      </c>
      <c r="D11" s="15">
        <v>40</v>
      </c>
      <c r="E11" s="15">
        <f t="shared" si="0"/>
        <v>210</v>
      </c>
      <c r="F11" s="21">
        <f t="shared" si="1"/>
        <v>9.8823529411764699E-2</v>
      </c>
    </row>
    <row r="12" spans="1:20" x14ac:dyDescent="0.25">
      <c r="A12" s="15" t="s">
        <v>12</v>
      </c>
      <c r="B12" s="15">
        <v>110</v>
      </c>
      <c r="C12" s="15">
        <v>75</v>
      </c>
      <c r="D12" s="15">
        <v>40</v>
      </c>
      <c r="E12" s="15">
        <f t="shared" si="0"/>
        <v>225</v>
      </c>
      <c r="F12" s="21">
        <f t="shared" si="1"/>
        <v>0.10588235294117647</v>
      </c>
    </row>
    <row r="13" spans="1:20" x14ac:dyDescent="0.25">
      <c r="A13" s="15" t="s">
        <v>13</v>
      </c>
      <c r="B13" s="15">
        <v>120</v>
      </c>
      <c r="C13" s="15">
        <v>80</v>
      </c>
      <c r="D13" s="15">
        <v>40</v>
      </c>
      <c r="E13" s="15">
        <f t="shared" si="0"/>
        <v>240</v>
      </c>
      <c r="F13" s="21">
        <f t="shared" si="1"/>
        <v>0.11294117647058824</v>
      </c>
    </row>
    <row r="14" spans="1:20" x14ac:dyDescent="0.25">
      <c r="A14" s="20" t="s">
        <v>66</v>
      </c>
      <c r="B14" s="20">
        <f>SUM(B2:B13)</f>
        <v>1000</v>
      </c>
      <c r="C14" s="20">
        <f>SUM(C2:C13)</f>
        <v>690</v>
      </c>
      <c r="D14" s="20">
        <f>SUM(D2:D13)</f>
        <v>435</v>
      </c>
      <c r="E14" s="15">
        <f t="shared" si="0"/>
        <v>2125</v>
      </c>
      <c r="F14" s="21">
        <f t="shared" si="1"/>
        <v>1</v>
      </c>
    </row>
    <row r="18" spans="1:13" ht="18.75" x14ac:dyDescent="0.25">
      <c r="A18" s="17" t="s">
        <v>65</v>
      </c>
    </row>
    <row r="20" spans="1:13" x14ac:dyDescent="0.25">
      <c r="C20" s="38" t="s">
        <v>64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13" x14ac:dyDescent="0.25"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1:13" ht="19.5" customHeight="1" x14ac:dyDescent="0.25"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44" ht="24" customHeight="1" x14ac:dyDescent="0.25"/>
  </sheetData>
  <mergeCells count="1">
    <mergeCell ref="C20:M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3206-2364-44D2-B897-BF4FE24DD11A}">
  <dimension ref="A1:N35"/>
  <sheetViews>
    <sheetView zoomScale="130" zoomScaleNormal="130" workbookViewId="0">
      <selection activeCell="A2" sqref="A2"/>
    </sheetView>
  </sheetViews>
  <sheetFormatPr defaultRowHeight="15" x14ac:dyDescent="0.25"/>
  <cols>
    <col min="1" max="2" width="15.28515625" customWidth="1"/>
  </cols>
  <sheetData>
    <row r="1" spans="1:2" ht="45" x14ac:dyDescent="0.25">
      <c r="A1" s="16" t="s">
        <v>60</v>
      </c>
      <c r="B1" s="16" t="s">
        <v>1</v>
      </c>
    </row>
    <row r="2" spans="1:2" x14ac:dyDescent="0.25">
      <c r="A2" s="15">
        <v>10</v>
      </c>
      <c r="B2" s="15">
        <v>120</v>
      </c>
    </row>
    <row r="3" spans="1:2" x14ac:dyDescent="0.25">
      <c r="A3" s="15">
        <v>12</v>
      </c>
      <c r="B3" s="15">
        <v>135</v>
      </c>
    </row>
    <row r="4" spans="1:2" x14ac:dyDescent="0.25">
      <c r="A4" s="15">
        <v>15</v>
      </c>
      <c r="B4" s="15">
        <v>150</v>
      </c>
    </row>
    <row r="5" spans="1:2" x14ac:dyDescent="0.25">
      <c r="A5" s="15">
        <v>14</v>
      </c>
      <c r="B5" s="15">
        <v>140</v>
      </c>
    </row>
    <row r="6" spans="1:2" x14ac:dyDescent="0.25">
      <c r="A6" s="15">
        <v>16</v>
      </c>
      <c r="B6" s="15">
        <v>160</v>
      </c>
    </row>
    <row r="7" spans="1:2" x14ac:dyDescent="0.25">
      <c r="A7" s="15">
        <v>18</v>
      </c>
      <c r="B7" s="15">
        <v>175</v>
      </c>
    </row>
    <row r="8" spans="1:2" x14ac:dyDescent="0.25">
      <c r="A8" s="15">
        <v>20</v>
      </c>
      <c r="B8" s="15">
        <v>190</v>
      </c>
    </row>
    <row r="9" spans="1:2" x14ac:dyDescent="0.25">
      <c r="A9" s="15">
        <v>19</v>
      </c>
      <c r="B9" s="15">
        <v>180</v>
      </c>
    </row>
    <row r="10" spans="1:2" x14ac:dyDescent="0.25">
      <c r="A10" s="15">
        <v>22</v>
      </c>
      <c r="B10" s="15">
        <v>200</v>
      </c>
    </row>
    <row r="11" spans="1:2" x14ac:dyDescent="0.25">
      <c r="A11" s="15">
        <v>21</v>
      </c>
      <c r="B11" s="15">
        <v>210</v>
      </c>
    </row>
    <row r="12" spans="1:2" x14ac:dyDescent="0.25">
      <c r="A12" s="15">
        <v>24</v>
      </c>
      <c r="B12" s="15">
        <v>225</v>
      </c>
    </row>
    <row r="13" spans="1:2" x14ac:dyDescent="0.25">
      <c r="A13" s="15">
        <v>23</v>
      </c>
      <c r="B13" s="15">
        <v>245</v>
      </c>
    </row>
    <row r="14" spans="1:2" x14ac:dyDescent="0.25">
      <c r="A14" s="15">
        <v>23</v>
      </c>
      <c r="B14" s="15">
        <v>251</v>
      </c>
    </row>
    <row r="15" spans="1:2" x14ac:dyDescent="0.25">
      <c r="A15" s="15">
        <v>24</v>
      </c>
      <c r="B15" s="15">
        <v>253</v>
      </c>
    </row>
    <row r="16" spans="1:2" x14ac:dyDescent="0.25">
      <c r="A16" s="15">
        <v>25</v>
      </c>
      <c r="B16" s="15">
        <v>255</v>
      </c>
    </row>
    <row r="17" spans="1:14" ht="18.75" x14ac:dyDescent="0.25">
      <c r="A17" s="15">
        <v>26</v>
      </c>
      <c r="B17" s="15">
        <v>257</v>
      </c>
      <c r="D17" s="17" t="s">
        <v>70</v>
      </c>
    </row>
    <row r="18" spans="1:14" x14ac:dyDescent="0.25">
      <c r="A18" s="15">
        <v>27</v>
      </c>
      <c r="B18" s="15">
        <v>259</v>
      </c>
    </row>
    <row r="19" spans="1:14" x14ac:dyDescent="0.25">
      <c r="A19" s="15">
        <v>28</v>
      </c>
      <c r="B19" s="15">
        <v>261</v>
      </c>
    </row>
    <row r="20" spans="1:14" x14ac:dyDescent="0.25">
      <c r="A20" s="15">
        <v>29</v>
      </c>
      <c r="B20" s="15">
        <v>263</v>
      </c>
      <c r="D20" s="38" t="s">
        <v>71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</row>
    <row r="21" spans="1:14" x14ac:dyDescent="0.25">
      <c r="A21" s="15">
        <v>30</v>
      </c>
      <c r="B21" s="15">
        <v>265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2" spans="1:14" x14ac:dyDescent="0.25">
      <c r="A22" s="15">
        <v>31</v>
      </c>
      <c r="B22" s="15">
        <v>267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</row>
    <row r="23" spans="1:14" x14ac:dyDescent="0.25">
      <c r="A23" s="15">
        <v>32</v>
      </c>
      <c r="B23" s="15">
        <v>269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</row>
    <row r="24" spans="1:14" x14ac:dyDescent="0.25">
      <c r="A24" s="15">
        <v>33</v>
      </c>
      <c r="B24" s="15">
        <v>271</v>
      </c>
    </row>
    <row r="25" spans="1:14" x14ac:dyDescent="0.25">
      <c r="A25" s="15">
        <v>34</v>
      </c>
      <c r="B25" s="15">
        <v>239</v>
      </c>
    </row>
    <row r="26" spans="1:14" x14ac:dyDescent="0.25">
      <c r="A26" s="15">
        <v>35</v>
      </c>
      <c r="B26" s="15">
        <v>233</v>
      </c>
    </row>
    <row r="27" spans="1:14" x14ac:dyDescent="0.25">
      <c r="A27" s="15">
        <v>36</v>
      </c>
      <c r="B27" s="15">
        <v>227</v>
      </c>
    </row>
    <row r="28" spans="1:14" x14ac:dyDescent="0.25">
      <c r="A28" s="15">
        <v>37</v>
      </c>
      <c r="B28" s="15">
        <v>221</v>
      </c>
    </row>
    <row r="29" spans="1:14" x14ac:dyDescent="0.25">
      <c r="A29" s="15">
        <v>38</v>
      </c>
      <c r="B29" s="15">
        <v>215</v>
      </c>
    </row>
    <row r="30" spans="1:14" x14ac:dyDescent="0.25">
      <c r="A30" s="15">
        <v>39</v>
      </c>
      <c r="B30" s="15">
        <v>209</v>
      </c>
    </row>
    <row r="31" spans="1:14" x14ac:dyDescent="0.25">
      <c r="A31" s="15">
        <v>40</v>
      </c>
      <c r="B31" s="15">
        <v>203</v>
      </c>
    </row>
    <row r="32" spans="1:14" x14ac:dyDescent="0.25">
      <c r="A32" s="15">
        <v>41</v>
      </c>
      <c r="B32" s="15">
        <v>197</v>
      </c>
    </row>
    <row r="33" spans="1:2" x14ac:dyDescent="0.25">
      <c r="A33" s="15">
        <v>42</v>
      </c>
      <c r="B33" s="15">
        <v>191</v>
      </c>
    </row>
    <row r="34" spans="1:2" x14ac:dyDescent="0.25">
      <c r="A34" s="15">
        <v>43</v>
      </c>
      <c r="B34" s="15">
        <v>185</v>
      </c>
    </row>
    <row r="35" spans="1:2" x14ac:dyDescent="0.25">
      <c r="A35" s="15">
        <v>44</v>
      </c>
      <c r="B35" s="15">
        <v>179</v>
      </c>
    </row>
  </sheetData>
  <mergeCells count="1">
    <mergeCell ref="D20:N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D133-F36B-42AA-B6E0-FF124982B5BC}">
  <dimension ref="A1:L29"/>
  <sheetViews>
    <sheetView workbookViewId="0">
      <selection activeCell="S27" sqref="S27"/>
    </sheetView>
  </sheetViews>
  <sheetFormatPr defaultRowHeight="15" x14ac:dyDescent="0.25"/>
  <sheetData>
    <row r="1" spans="1:6" x14ac:dyDescent="0.25">
      <c r="A1" s="19" t="s">
        <v>0</v>
      </c>
      <c r="B1" s="19" t="s">
        <v>61</v>
      </c>
      <c r="C1" s="19" t="s">
        <v>62</v>
      </c>
      <c r="D1" s="19" t="s">
        <v>63</v>
      </c>
      <c r="E1" s="18" t="s">
        <v>67</v>
      </c>
      <c r="F1" s="15" t="s">
        <v>68</v>
      </c>
    </row>
    <row r="2" spans="1:6" x14ac:dyDescent="0.25">
      <c r="A2" s="15" t="s">
        <v>2</v>
      </c>
      <c r="B2" s="15">
        <v>50</v>
      </c>
      <c r="C2" s="15">
        <v>40</v>
      </c>
      <c r="D2" s="15">
        <v>30</v>
      </c>
      <c r="E2" s="15">
        <f>SUM(B2:D2)</f>
        <v>120</v>
      </c>
      <c r="F2" s="21">
        <f>E2/$E$14</f>
        <v>5.647058823529412E-2</v>
      </c>
    </row>
    <row r="3" spans="1:6" x14ac:dyDescent="0.25">
      <c r="A3" s="15" t="s">
        <v>3</v>
      </c>
      <c r="B3" s="15">
        <v>60</v>
      </c>
      <c r="C3" s="15">
        <v>45</v>
      </c>
      <c r="D3" s="15">
        <v>30</v>
      </c>
      <c r="E3" s="15">
        <f t="shared" ref="E3:E14" si="0">SUM(B3:D3)</f>
        <v>135</v>
      </c>
      <c r="F3" s="21">
        <f t="shared" ref="F3:F14" si="1">E3/$E$14</f>
        <v>6.3529411764705876E-2</v>
      </c>
    </row>
    <row r="4" spans="1:6" x14ac:dyDescent="0.25">
      <c r="A4" s="15" t="s">
        <v>4</v>
      </c>
      <c r="B4" s="15">
        <v>70</v>
      </c>
      <c r="C4" s="15">
        <v>50</v>
      </c>
      <c r="D4" s="15">
        <v>30</v>
      </c>
      <c r="E4" s="15">
        <f t="shared" si="0"/>
        <v>150</v>
      </c>
      <c r="F4" s="21">
        <f t="shared" si="1"/>
        <v>7.0588235294117646E-2</v>
      </c>
    </row>
    <row r="5" spans="1:6" x14ac:dyDescent="0.25">
      <c r="A5" s="15" t="s">
        <v>5</v>
      </c>
      <c r="B5" s="15">
        <v>65</v>
      </c>
      <c r="C5" s="15">
        <v>45</v>
      </c>
      <c r="D5" s="15">
        <v>30</v>
      </c>
      <c r="E5" s="15">
        <f t="shared" si="0"/>
        <v>140</v>
      </c>
      <c r="F5" s="21">
        <f t="shared" si="1"/>
        <v>6.5882352941176475E-2</v>
      </c>
    </row>
    <row r="6" spans="1:6" x14ac:dyDescent="0.25">
      <c r="A6" s="15" t="s">
        <v>6</v>
      </c>
      <c r="B6" s="15">
        <v>75</v>
      </c>
      <c r="C6" s="15">
        <v>50</v>
      </c>
      <c r="D6" s="15">
        <v>35</v>
      </c>
      <c r="E6" s="15">
        <f t="shared" si="0"/>
        <v>160</v>
      </c>
      <c r="F6" s="21">
        <f t="shared" si="1"/>
        <v>7.5294117647058817E-2</v>
      </c>
    </row>
    <row r="7" spans="1:6" x14ac:dyDescent="0.25">
      <c r="A7" s="15" t="s">
        <v>7</v>
      </c>
      <c r="B7" s="15">
        <v>80</v>
      </c>
      <c r="C7" s="15">
        <v>55</v>
      </c>
      <c r="D7" s="15">
        <v>40</v>
      </c>
      <c r="E7" s="15">
        <f t="shared" si="0"/>
        <v>175</v>
      </c>
      <c r="F7" s="21">
        <f t="shared" si="1"/>
        <v>8.2352941176470587E-2</v>
      </c>
    </row>
    <row r="8" spans="1:6" x14ac:dyDescent="0.25">
      <c r="A8" s="15" t="s">
        <v>8</v>
      </c>
      <c r="B8" s="15">
        <v>90</v>
      </c>
      <c r="C8" s="15">
        <v>60</v>
      </c>
      <c r="D8" s="15">
        <v>40</v>
      </c>
      <c r="E8" s="15">
        <f t="shared" si="0"/>
        <v>190</v>
      </c>
      <c r="F8" s="21">
        <f t="shared" si="1"/>
        <v>8.9411764705882357E-2</v>
      </c>
    </row>
    <row r="9" spans="1:6" x14ac:dyDescent="0.25">
      <c r="A9" s="15" t="s">
        <v>9</v>
      </c>
      <c r="B9" s="15">
        <v>85</v>
      </c>
      <c r="C9" s="15">
        <v>55</v>
      </c>
      <c r="D9" s="15">
        <v>40</v>
      </c>
      <c r="E9" s="15">
        <f t="shared" si="0"/>
        <v>180</v>
      </c>
      <c r="F9" s="21">
        <f t="shared" si="1"/>
        <v>8.4705882352941173E-2</v>
      </c>
    </row>
    <row r="10" spans="1:6" x14ac:dyDescent="0.25">
      <c r="A10" s="15" t="s">
        <v>10</v>
      </c>
      <c r="B10" s="15">
        <v>95</v>
      </c>
      <c r="C10" s="15">
        <v>65</v>
      </c>
      <c r="D10" s="15">
        <v>40</v>
      </c>
      <c r="E10" s="15">
        <f t="shared" si="0"/>
        <v>200</v>
      </c>
      <c r="F10" s="21">
        <f t="shared" si="1"/>
        <v>9.4117647058823528E-2</v>
      </c>
    </row>
    <row r="11" spans="1:6" x14ac:dyDescent="0.25">
      <c r="A11" s="15" t="s">
        <v>11</v>
      </c>
      <c r="B11" s="15">
        <v>100</v>
      </c>
      <c r="C11" s="15">
        <v>70</v>
      </c>
      <c r="D11" s="15">
        <v>40</v>
      </c>
      <c r="E11" s="15">
        <f t="shared" si="0"/>
        <v>210</v>
      </c>
      <c r="F11" s="21">
        <f t="shared" si="1"/>
        <v>9.8823529411764699E-2</v>
      </c>
    </row>
    <row r="12" spans="1:6" x14ac:dyDescent="0.25">
      <c r="A12" s="15" t="s">
        <v>12</v>
      </c>
      <c r="B12" s="15">
        <v>110</v>
      </c>
      <c r="C12" s="15">
        <v>75</v>
      </c>
      <c r="D12" s="15">
        <v>40</v>
      </c>
      <c r="E12" s="15">
        <f t="shared" si="0"/>
        <v>225</v>
      </c>
      <c r="F12" s="21">
        <f t="shared" si="1"/>
        <v>0.10588235294117647</v>
      </c>
    </row>
    <row r="13" spans="1:6" x14ac:dyDescent="0.25">
      <c r="A13" s="15" t="s">
        <v>13</v>
      </c>
      <c r="B13" s="15">
        <v>120</v>
      </c>
      <c r="C13" s="15">
        <v>80</v>
      </c>
      <c r="D13" s="15">
        <v>40</v>
      </c>
      <c r="E13" s="15">
        <f t="shared" si="0"/>
        <v>240</v>
      </c>
      <c r="F13" s="21">
        <f t="shared" si="1"/>
        <v>0.11294117647058824</v>
      </c>
    </row>
    <row r="14" spans="1:6" x14ac:dyDescent="0.25">
      <c r="A14" s="20" t="s">
        <v>66</v>
      </c>
      <c r="B14" s="20">
        <f>SUM(B2:B13)</f>
        <v>1000</v>
      </c>
      <c r="C14" s="20">
        <f>SUM(C2:C13)</f>
        <v>690</v>
      </c>
      <c r="D14" s="20">
        <f>SUM(D2:D13)</f>
        <v>435</v>
      </c>
      <c r="E14" s="15">
        <f t="shared" si="0"/>
        <v>2125</v>
      </c>
      <c r="F14" s="21">
        <f t="shared" si="1"/>
        <v>1</v>
      </c>
    </row>
    <row r="23" spans="1:12" ht="18.75" x14ac:dyDescent="0.25">
      <c r="A23" s="17" t="s">
        <v>73</v>
      </c>
    </row>
    <row r="26" spans="1:12" x14ac:dyDescent="0.25">
      <c r="B26" s="38" t="s">
        <v>72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1:12" x14ac:dyDescent="0.2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 x14ac:dyDescent="0.2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1:12" x14ac:dyDescent="0.2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</sheetData>
  <mergeCells count="1">
    <mergeCell ref="B26:L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F9E2-8203-4147-B24E-D7C379CF6602}">
  <dimension ref="A1:K19"/>
  <sheetViews>
    <sheetView zoomScale="145" zoomScaleNormal="145" workbookViewId="0">
      <selection activeCell="H15" sqref="H15"/>
    </sheetView>
  </sheetViews>
  <sheetFormatPr defaultRowHeight="15" x14ac:dyDescent="0.25"/>
  <cols>
    <col min="1" max="6" width="12.85546875" customWidth="1"/>
  </cols>
  <sheetData>
    <row r="1" spans="1:11" ht="24.75" x14ac:dyDescent="0.5">
      <c r="A1" s="19" t="s">
        <v>0</v>
      </c>
      <c r="B1" s="19" t="s">
        <v>61</v>
      </c>
      <c r="C1" s="19" t="s">
        <v>62</v>
      </c>
      <c r="D1" s="19" t="s">
        <v>63</v>
      </c>
      <c r="E1" s="18" t="s">
        <v>67</v>
      </c>
      <c r="F1" s="15" t="s">
        <v>68</v>
      </c>
      <c r="K1" s="28" t="s">
        <v>104</v>
      </c>
    </row>
    <row r="2" spans="1:11" x14ac:dyDescent="0.25">
      <c r="A2" s="15" t="s">
        <v>2</v>
      </c>
      <c r="B2" s="15">
        <v>50</v>
      </c>
      <c r="C2" s="15">
        <v>40</v>
      </c>
      <c r="D2" s="15">
        <v>-30</v>
      </c>
      <c r="E2" s="15">
        <f>SUM(B2:D2)</f>
        <v>60</v>
      </c>
      <c r="F2" s="21">
        <f>E2/$E$14</f>
        <v>3.3057851239669422E-2</v>
      </c>
    </row>
    <row r="3" spans="1:11" x14ac:dyDescent="0.25">
      <c r="A3" s="15" t="s">
        <v>3</v>
      </c>
      <c r="B3" s="15">
        <v>60</v>
      </c>
      <c r="C3" s="15">
        <v>-45</v>
      </c>
      <c r="D3" s="15">
        <v>-30</v>
      </c>
      <c r="E3" s="15">
        <f t="shared" ref="E3:E14" si="0">SUM(B3:D3)</f>
        <v>-15</v>
      </c>
      <c r="F3" s="21">
        <f t="shared" ref="F3:F14" si="1">E3/$E$14</f>
        <v>-8.2644628099173556E-3</v>
      </c>
      <c r="J3" s="24" t="s">
        <v>108</v>
      </c>
    </row>
    <row r="4" spans="1:11" x14ac:dyDescent="0.25">
      <c r="A4" s="15" t="s">
        <v>4</v>
      </c>
      <c r="B4" s="15">
        <v>70</v>
      </c>
      <c r="C4" s="15">
        <v>-50</v>
      </c>
      <c r="D4" s="15">
        <v>30</v>
      </c>
      <c r="E4" s="15">
        <f t="shared" si="0"/>
        <v>50</v>
      </c>
      <c r="F4" s="21">
        <f t="shared" si="1"/>
        <v>2.7548209366391185E-2</v>
      </c>
      <c r="J4">
        <v>1</v>
      </c>
      <c r="K4" s="23" t="s">
        <v>105</v>
      </c>
    </row>
    <row r="5" spans="1:11" x14ac:dyDescent="0.25">
      <c r="A5" s="15" t="s">
        <v>5</v>
      </c>
      <c r="B5" s="15">
        <v>65</v>
      </c>
      <c r="C5" s="15">
        <v>45</v>
      </c>
      <c r="D5" s="15">
        <v>30</v>
      </c>
      <c r="E5" s="15">
        <f t="shared" si="0"/>
        <v>140</v>
      </c>
      <c r="F5" s="21">
        <f t="shared" si="1"/>
        <v>7.7134986225895319E-2</v>
      </c>
      <c r="J5">
        <v>2</v>
      </c>
      <c r="K5" s="23" t="s">
        <v>106</v>
      </c>
    </row>
    <row r="6" spans="1:11" x14ac:dyDescent="0.25">
      <c r="A6" s="15" t="s">
        <v>6</v>
      </c>
      <c r="B6" s="15">
        <v>75</v>
      </c>
      <c r="C6" s="15">
        <v>50</v>
      </c>
      <c r="D6" s="15">
        <v>35</v>
      </c>
      <c r="E6" s="15">
        <f t="shared" si="0"/>
        <v>160</v>
      </c>
      <c r="F6" s="21">
        <f t="shared" si="1"/>
        <v>8.8154269972451793E-2</v>
      </c>
      <c r="J6">
        <v>3</v>
      </c>
      <c r="K6" s="23" t="s">
        <v>107</v>
      </c>
    </row>
    <row r="7" spans="1:11" x14ac:dyDescent="0.25">
      <c r="A7" s="15" t="s">
        <v>7</v>
      </c>
      <c r="B7" s="15">
        <v>80</v>
      </c>
      <c r="C7" s="15">
        <v>55</v>
      </c>
      <c r="D7" s="15">
        <v>40</v>
      </c>
      <c r="E7" s="15">
        <f t="shared" si="0"/>
        <v>175</v>
      </c>
      <c r="F7" s="21">
        <f t="shared" si="1"/>
        <v>9.6418732782369149E-2</v>
      </c>
      <c r="J7">
        <v>4</v>
      </c>
      <c r="K7" s="23" t="s">
        <v>109</v>
      </c>
    </row>
    <row r="8" spans="1:11" x14ac:dyDescent="0.25">
      <c r="A8" s="15" t="s">
        <v>8</v>
      </c>
      <c r="B8" s="15">
        <v>90</v>
      </c>
      <c r="C8" s="15">
        <v>60</v>
      </c>
      <c r="D8" s="15">
        <v>40</v>
      </c>
      <c r="E8" s="15">
        <f t="shared" si="0"/>
        <v>190</v>
      </c>
      <c r="F8" s="21">
        <f t="shared" si="1"/>
        <v>0.1046831955922865</v>
      </c>
      <c r="J8">
        <v>5</v>
      </c>
      <c r="K8" s="23" t="s">
        <v>110</v>
      </c>
    </row>
    <row r="9" spans="1:11" x14ac:dyDescent="0.25">
      <c r="A9" s="15" t="s">
        <v>9</v>
      </c>
      <c r="B9" s="15">
        <v>85</v>
      </c>
      <c r="C9" s="15">
        <v>55</v>
      </c>
      <c r="D9" s="15">
        <v>40</v>
      </c>
      <c r="E9" s="15">
        <f t="shared" si="0"/>
        <v>180</v>
      </c>
      <c r="F9" s="21">
        <f t="shared" si="1"/>
        <v>9.9173553719008267E-2</v>
      </c>
    </row>
    <row r="10" spans="1:11" x14ac:dyDescent="0.25">
      <c r="A10" s="15" t="s">
        <v>10</v>
      </c>
      <c r="B10" s="15">
        <v>95</v>
      </c>
      <c r="C10" s="15">
        <v>65</v>
      </c>
      <c r="D10" s="15">
        <v>40</v>
      </c>
      <c r="E10" s="15">
        <f t="shared" si="0"/>
        <v>200</v>
      </c>
      <c r="F10" s="21">
        <f t="shared" si="1"/>
        <v>0.11019283746556474</v>
      </c>
    </row>
    <row r="11" spans="1:11" x14ac:dyDescent="0.25">
      <c r="A11" s="15" t="s">
        <v>11</v>
      </c>
      <c r="B11" s="15">
        <v>100</v>
      </c>
      <c r="C11" s="15">
        <v>70</v>
      </c>
      <c r="D11" s="15">
        <v>40</v>
      </c>
      <c r="E11" s="15">
        <f t="shared" si="0"/>
        <v>210</v>
      </c>
      <c r="F11" s="21">
        <f t="shared" si="1"/>
        <v>0.11570247933884298</v>
      </c>
    </row>
    <row r="12" spans="1:11" x14ac:dyDescent="0.25">
      <c r="A12" s="15" t="s">
        <v>12</v>
      </c>
      <c r="B12" s="15">
        <v>110</v>
      </c>
      <c r="C12" s="15">
        <v>75</v>
      </c>
      <c r="D12" s="15">
        <v>40</v>
      </c>
      <c r="E12" s="15">
        <f t="shared" si="0"/>
        <v>225</v>
      </c>
      <c r="F12" s="21">
        <f t="shared" si="1"/>
        <v>0.12396694214876033</v>
      </c>
    </row>
    <row r="13" spans="1:11" x14ac:dyDescent="0.25">
      <c r="A13" s="15" t="s">
        <v>13</v>
      </c>
      <c r="B13" s="15">
        <v>120</v>
      </c>
      <c r="C13" s="15">
        <v>80</v>
      </c>
      <c r="D13" s="15">
        <v>40</v>
      </c>
      <c r="E13" s="15">
        <f t="shared" si="0"/>
        <v>240</v>
      </c>
      <c r="F13" s="21">
        <f t="shared" si="1"/>
        <v>0.13223140495867769</v>
      </c>
    </row>
    <row r="14" spans="1:11" x14ac:dyDescent="0.25">
      <c r="A14" s="20" t="s">
        <v>66</v>
      </c>
      <c r="B14" s="20">
        <f>SUM(B2:B13)</f>
        <v>1000</v>
      </c>
      <c r="C14" s="20">
        <f>SUM(C2:C13)</f>
        <v>500</v>
      </c>
      <c r="D14" s="20">
        <f>SUM(D2:D13)</f>
        <v>315</v>
      </c>
      <c r="E14" s="15">
        <f t="shared" si="0"/>
        <v>1815</v>
      </c>
      <c r="F14" s="21">
        <f t="shared" si="1"/>
        <v>1</v>
      </c>
    </row>
    <row r="15" spans="1:11" ht="36.75" customHeight="1" x14ac:dyDescent="0.25"/>
    <row r="16" spans="1:11" ht="4.5" customHeight="1" x14ac:dyDescent="0.25"/>
    <row r="17" spans="3:3" ht="4.5" customHeight="1" x14ac:dyDescent="0.25"/>
    <row r="18" spans="3:3" ht="52.5" customHeight="1" x14ac:dyDescent="0.25"/>
    <row r="19" spans="3:3" x14ac:dyDescent="0.25">
      <c r="C19" s="24" t="s">
        <v>111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high="1" low="1" negative="1" xr2:uid="{22AA8786-D6ED-4ABB-8053-F09F47DF8A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спарклайны!D2:D13</xm:f>
              <xm:sqref>D18</xm:sqref>
            </x14:sparkline>
          </x14:sparklines>
        </x14:sparklineGroup>
        <x14:sparklineGroup manualMax="0" manualMin="0" type="column" displayEmptyCellsAs="gap" high="1" low="1" first="1" negative="1" xr2:uid="{93013498-A3ED-434D-A386-5B7555A40D12}">
          <x14:colorSeries theme="8" tint="-0.249977111117893"/>
          <x14:colorNegative rgb="FFFF0000"/>
          <x14:colorAxis rgb="FF000000"/>
          <x14:colorMarkers theme="9" tint="-0.249977111117893"/>
          <x14:colorFirst rgb="FFFFC000"/>
          <x14:colorLast theme="9" tint="-0.249977111117893"/>
          <x14:colorHigh theme="9" tint="-0.249977111117893"/>
          <x14:colorLow rgb="FFFF0000"/>
          <x14:sparklines>
            <x14:sparkline>
              <xm:f>спарклайны!C2:C13</xm:f>
              <xm:sqref>C18</xm:sqref>
            </x14:sparkline>
          </x14:sparklines>
        </x14:sparklineGroup>
        <x14:sparklineGroup manualMax="0" manualMin="0" displayEmptyCellsAs="gap" markers="1" xr2:uid="{96BDD9D4-DC81-459A-8E26-F0113B674A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спарклайны!B2:B13</xm:f>
              <xm:sqref>B18</xm:sqref>
            </x14:sparkline>
          </x14:sparklines>
        </x14:sparklineGroup>
        <x14:sparklineGroup displayEmptyCellsAs="gap" high="1" low="1" xr2:uid="{435F5DA9-49AA-462F-AD40-2015259D2D1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спарклайны!E2:E14</xm:f>
              <xm:sqref>E18</xm:sqref>
            </x14:sparkline>
          </x14:sparklines>
        </x14:sparklineGroup>
        <x14:sparklineGroup type="stacked" displayEmptyCellsAs="gap" first="1" last="1" negative="1" xr2:uid="{D31BC4DA-2A5A-4354-B204-F485C18C5B52}">
          <x14:colorSeries rgb="FF00B0F0"/>
          <x14:colorNegative rgb="FFFFC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спарклайны!C2:C13</xm:f>
              <xm:sqref>C15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F64E-3D15-4FDD-A84C-39D40A2F5833}">
  <dimension ref="A1:AA14"/>
  <sheetViews>
    <sheetView zoomScaleNormal="100" workbookViewId="0">
      <selection activeCell="AB21" sqref="AB21"/>
    </sheetView>
  </sheetViews>
  <sheetFormatPr defaultRowHeight="15" outlineLevelCol="2" x14ac:dyDescent="0.25"/>
  <cols>
    <col min="1" max="1" width="13.28515625" customWidth="1"/>
    <col min="2" max="4" width="9.140625" hidden="1" customWidth="1" outlineLevel="2"/>
    <col min="5" max="5" width="9.140625" hidden="1" customWidth="1" outlineLevel="1" collapsed="1"/>
    <col min="6" max="8" width="9.140625" hidden="1" customWidth="1" outlineLevel="2"/>
    <col min="9" max="9" width="9.140625" hidden="1" customWidth="1" outlineLevel="1" collapsed="1"/>
    <col min="10" max="12" width="9.140625" hidden="1" customWidth="1" outlineLevel="2"/>
    <col min="13" max="13" width="9.140625" hidden="1" customWidth="1" outlineLevel="1" collapsed="1"/>
    <col min="14" max="16" width="9.140625" hidden="1" customWidth="1" outlineLevel="2"/>
    <col min="17" max="17" width="9.140625" hidden="1" customWidth="1" outlineLevel="1" collapsed="1"/>
    <col min="18" max="18" width="9.140625" collapsed="1"/>
  </cols>
  <sheetData>
    <row r="1" spans="1:27" x14ac:dyDescent="0.25">
      <c r="A1" s="19" t="s">
        <v>0</v>
      </c>
      <c r="B1" s="15" t="s">
        <v>2</v>
      </c>
      <c r="C1" s="15" t="s">
        <v>3</v>
      </c>
      <c r="D1" s="15" t="s">
        <v>4</v>
      </c>
      <c r="E1" s="15" t="s">
        <v>74</v>
      </c>
      <c r="F1" s="15" t="s">
        <v>5</v>
      </c>
      <c r="G1" s="15" t="s">
        <v>6</v>
      </c>
      <c r="H1" s="15" t="s">
        <v>7</v>
      </c>
      <c r="I1" s="15" t="s">
        <v>75</v>
      </c>
      <c r="J1" s="15" t="s">
        <v>8</v>
      </c>
      <c r="K1" s="15" t="s">
        <v>9</v>
      </c>
      <c r="L1" s="15" t="s">
        <v>10</v>
      </c>
      <c r="M1" s="15" t="s">
        <v>76</v>
      </c>
      <c r="N1" s="15" t="s">
        <v>11</v>
      </c>
      <c r="O1" s="15" t="s">
        <v>12</v>
      </c>
      <c r="P1" s="15" t="s">
        <v>13</v>
      </c>
      <c r="Q1" s="15" t="s">
        <v>77</v>
      </c>
      <c r="R1" s="20" t="s">
        <v>66</v>
      </c>
    </row>
    <row r="2" spans="1:27" ht="24.75" x14ac:dyDescent="0.5">
      <c r="A2" s="19" t="s">
        <v>61</v>
      </c>
      <c r="B2" s="15">
        <v>50</v>
      </c>
      <c r="C2" s="15">
        <v>60</v>
      </c>
      <c r="D2" s="15">
        <v>70</v>
      </c>
      <c r="E2" s="15">
        <f>SUM(B2:D2)</f>
        <v>180</v>
      </c>
      <c r="F2" s="15">
        <v>65</v>
      </c>
      <c r="G2" s="15">
        <v>75</v>
      </c>
      <c r="H2" s="15">
        <v>80</v>
      </c>
      <c r="I2" s="15">
        <f>SUM(F2:H2)</f>
        <v>220</v>
      </c>
      <c r="J2" s="15">
        <v>90</v>
      </c>
      <c r="K2" s="15">
        <v>85</v>
      </c>
      <c r="L2" s="15">
        <v>95</v>
      </c>
      <c r="M2" s="15">
        <f>SUM(J2:L2)</f>
        <v>270</v>
      </c>
      <c r="N2" s="15">
        <v>100</v>
      </c>
      <c r="O2" s="15">
        <v>110</v>
      </c>
      <c r="P2" s="15">
        <v>120</v>
      </c>
      <c r="Q2" s="15">
        <f>SUM(N2:P2)</f>
        <v>330</v>
      </c>
      <c r="R2" s="20">
        <f>SUM(E2+I2+M2+Q2)</f>
        <v>1000</v>
      </c>
      <c r="Z2" s="28" t="s">
        <v>124</v>
      </c>
    </row>
    <row r="3" spans="1:27" x14ac:dyDescent="0.25">
      <c r="A3" s="19" t="s">
        <v>62</v>
      </c>
      <c r="B3" s="15">
        <v>40</v>
      </c>
      <c r="C3" s="15">
        <v>45</v>
      </c>
      <c r="D3" s="15">
        <v>50</v>
      </c>
      <c r="E3" s="15">
        <f t="shared" ref="E3:E4" si="0">SUM(B3:D3)</f>
        <v>135</v>
      </c>
      <c r="F3" s="15">
        <v>45</v>
      </c>
      <c r="G3" s="15">
        <v>50</v>
      </c>
      <c r="H3" s="15">
        <v>55</v>
      </c>
      <c r="I3" s="15">
        <f t="shared" ref="I3:I4" si="1">SUM(F3:H3)</f>
        <v>150</v>
      </c>
      <c r="J3" s="15">
        <v>60</v>
      </c>
      <c r="K3" s="15">
        <v>55</v>
      </c>
      <c r="L3" s="15">
        <v>65</v>
      </c>
      <c r="M3" s="15">
        <f t="shared" ref="M3:M4" si="2">SUM(J3:L3)</f>
        <v>180</v>
      </c>
      <c r="N3" s="15">
        <v>70</v>
      </c>
      <c r="O3" s="15">
        <v>75</v>
      </c>
      <c r="P3" s="15">
        <v>80</v>
      </c>
      <c r="Q3" s="15">
        <f>SUM(N3:P3)</f>
        <v>225</v>
      </c>
      <c r="R3" s="20">
        <f t="shared" ref="R3:R4" si="3">SUM(E3+I3+M3+Q3)</f>
        <v>690</v>
      </c>
    </row>
    <row r="4" spans="1:27" x14ac:dyDescent="0.25">
      <c r="A4" s="19" t="s">
        <v>63</v>
      </c>
      <c r="B4" s="15">
        <v>30</v>
      </c>
      <c r="C4" s="15">
        <v>30</v>
      </c>
      <c r="D4" s="15">
        <v>30</v>
      </c>
      <c r="E4" s="15">
        <f t="shared" si="0"/>
        <v>90</v>
      </c>
      <c r="F4" s="15">
        <v>30</v>
      </c>
      <c r="G4" s="15">
        <v>35</v>
      </c>
      <c r="H4" s="15">
        <v>40</v>
      </c>
      <c r="I4" s="15">
        <f t="shared" si="1"/>
        <v>105</v>
      </c>
      <c r="J4" s="15">
        <v>40</v>
      </c>
      <c r="K4" s="15">
        <v>40</v>
      </c>
      <c r="L4" s="15">
        <v>40</v>
      </c>
      <c r="M4" s="15">
        <f t="shared" si="2"/>
        <v>120</v>
      </c>
      <c r="N4" s="15">
        <v>40</v>
      </c>
      <c r="O4" s="15">
        <v>40</v>
      </c>
      <c r="P4" s="15">
        <v>40</v>
      </c>
      <c r="Q4" s="15">
        <f>SUM(N4:P4)</f>
        <v>120</v>
      </c>
      <c r="R4" s="20">
        <f t="shared" si="3"/>
        <v>435</v>
      </c>
    </row>
    <row r="5" spans="1:27" x14ac:dyDescent="0.25">
      <c r="A5" s="15" t="s">
        <v>67</v>
      </c>
      <c r="B5" s="15">
        <f t="shared" ref="B5:R5" si="4">SUM(B2:B4)</f>
        <v>120</v>
      </c>
      <c r="C5" s="15">
        <f t="shared" si="4"/>
        <v>135</v>
      </c>
      <c r="D5" s="15">
        <f t="shared" si="4"/>
        <v>150</v>
      </c>
      <c r="E5" s="15">
        <f t="shared" si="4"/>
        <v>405</v>
      </c>
      <c r="F5" s="15">
        <f t="shared" si="4"/>
        <v>140</v>
      </c>
      <c r="G5" s="15">
        <f t="shared" si="4"/>
        <v>160</v>
      </c>
      <c r="H5" s="15">
        <f t="shared" si="4"/>
        <v>175</v>
      </c>
      <c r="I5" s="15">
        <f t="shared" si="4"/>
        <v>475</v>
      </c>
      <c r="J5" s="15">
        <f t="shared" si="4"/>
        <v>190</v>
      </c>
      <c r="K5" s="15">
        <f t="shared" si="4"/>
        <v>180</v>
      </c>
      <c r="L5" s="15">
        <f t="shared" si="4"/>
        <v>200</v>
      </c>
      <c r="M5" s="15">
        <f t="shared" si="4"/>
        <v>570</v>
      </c>
      <c r="N5" s="15">
        <f t="shared" si="4"/>
        <v>210</v>
      </c>
      <c r="O5" s="15">
        <f t="shared" si="4"/>
        <v>225</v>
      </c>
      <c r="P5" s="15">
        <f t="shared" si="4"/>
        <v>240</v>
      </c>
      <c r="Q5" s="15">
        <f t="shared" si="4"/>
        <v>675</v>
      </c>
      <c r="R5" s="15">
        <f t="shared" si="4"/>
        <v>2125</v>
      </c>
      <c r="Z5" s="24" t="s">
        <v>125</v>
      </c>
    </row>
    <row r="6" spans="1:27" x14ac:dyDescent="0.25">
      <c r="A6" s="15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Z6">
        <v>1</v>
      </c>
      <c r="AA6" s="23" t="s">
        <v>132</v>
      </c>
    </row>
    <row r="7" spans="1:27" x14ac:dyDescent="0.25">
      <c r="Z7">
        <v>2</v>
      </c>
      <c r="AA7" s="23" t="s">
        <v>130</v>
      </c>
    </row>
    <row r="8" spans="1:27" x14ac:dyDescent="0.25">
      <c r="Z8">
        <v>3</v>
      </c>
      <c r="AA8" s="23" t="s">
        <v>131</v>
      </c>
    </row>
    <row r="10" spans="1:27" x14ac:dyDescent="0.25">
      <c r="Z10" s="24" t="s">
        <v>126</v>
      </c>
    </row>
    <row r="12" spans="1:27" x14ac:dyDescent="0.25">
      <c r="Z12">
        <v>1</v>
      </c>
      <c r="AA12" s="23" t="s">
        <v>127</v>
      </c>
    </row>
    <row r="13" spans="1:27" x14ac:dyDescent="0.25">
      <c r="Z13">
        <v>2</v>
      </c>
      <c r="AA13" s="23" t="s">
        <v>128</v>
      </c>
    </row>
    <row r="14" spans="1:27" x14ac:dyDescent="0.25">
      <c r="Z14">
        <v>3</v>
      </c>
      <c r="AA14" s="23" t="s">
        <v>129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A794-8175-48EC-A8A1-E0FF80898313}">
  <dimension ref="A1:R17"/>
  <sheetViews>
    <sheetView workbookViewId="0">
      <selection activeCell="V18" sqref="V18"/>
    </sheetView>
  </sheetViews>
  <sheetFormatPr defaultRowHeight="15" x14ac:dyDescent="0.25"/>
  <cols>
    <col min="1" max="1" width="12.5703125" customWidth="1"/>
    <col min="2" max="13" width="9.140625" customWidth="1"/>
    <col min="16" max="16" width="12.42578125" customWidth="1"/>
    <col min="17" max="17" width="6.28515625" customWidth="1"/>
  </cols>
  <sheetData>
    <row r="1" spans="1:18" ht="22.5" x14ac:dyDescent="0.45">
      <c r="A1" s="19" t="s">
        <v>0</v>
      </c>
      <c r="B1" s="19" t="s">
        <v>61</v>
      </c>
      <c r="C1" s="19" t="s">
        <v>62</v>
      </c>
      <c r="D1" s="19" t="s">
        <v>63</v>
      </c>
      <c r="E1" s="18" t="s">
        <v>67</v>
      </c>
      <c r="F1" s="15" t="s">
        <v>68</v>
      </c>
      <c r="Q1" s="22" t="s">
        <v>78</v>
      </c>
    </row>
    <row r="2" spans="1:18" x14ac:dyDescent="0.25">
      <c r="A2" s="15" t="s">
        <v>2</v>
      </c>
      <c r="B2" s="15">
        <v>50</v>
      </c>
      <c r="C2" s="15">
        <v>40</v>
      </c>
      <c r="D2" s="15">
        <v>30</v>
      </c>
      <c r="E2" s="15">
        <f>SUM(B2:D2)</f>
        <v>120</v>
      </c>
      <c r="F2" s="21">
        <f>E2/$E$14</f>
        <v>5.647058823529412E-2</v>
      </c>
      <c r="Q2" s="24" t="s">
        <v>86</v>
      </c>
    </row>
    <row r="3" spans="1:18" x14ac:dyDescent="0.25">
      <c r="A3" s="15" t="s">
        <v>3</v>
      </c>
      <c r="B3" s="15">
        <v>60</v>
      </c>
      <c r="C3" s="15">
        <v>45</v>
      </c>
      <c r="D3" s="15">
        <v>30</v>
      </c>
      <c r="E3" s="15">
        <f t="shared" ref="E3:E14" si="0">SUM(B3:D3)</f>
        <v>135</v>
      </c>
      <c r="F3" s="21">
        <f t="shared" ref="F3:F14" si="1">E3/$E$14</f>
        <v>6.3529411764705876E-2</v>
      </c>
      <c r="Q3">
        <v>1</v>
      </c>
      <c r="R3" s="23" t="s">
        <v>81</v>
      </c>
    </row>
    <row r="4" spans="1:18" x14ac:dyDescent="0.25">
      <c r="A4" s="15" t="s">
        <v>4</v>
      </c>
      <c r="B4" s="15">
        <v>70</v>
      </c>
      <c r="C4" s="15">
        <v>50</v>
      </c>
      <c r="D4" s="15">
        <v>30</v>
      </c>
      <c r="E4" s="15">
        <f t="shared" si="0"/>
        <v>150</v>
      </c>
      <c r="F4" s="21">
        <f t="shared" si="1"/>
        <v>7.0588235294117646E-2</v>
      </c>
      <c r="Q4">
        <v>2</v>
      </c>
      <c r="R4" s="23" t="s">
        <v>82</v>
      </c>
    </row>
    <row r="5" spans="1:18" x14ac:dyDescent="0.25">
      <c r="A5" s="15" t="s">
        <v>5</v>
      </c>
      <c r="B5" s="15">
        <v>65</v>
      </c>
      <c r="C5" s="15">
        <v>45</v>
      </c>
      <c r="D5" s="15">
        <v>30</v>
      </c>
      <c r="E5" s="15">
        <f t="shared" si="0"/>
        <v>140</v>
      </c>
      <c r="F5" s="21">
        <f t="shared" si="1"/>
        <v>6.5882352941176475E-2</v>
      </c>
      <c r="Q5">
        <v>3</v>
      </c>
      <c r="R5" s="23" t="s">
        <v>80</v>
      </c>
    </row>
    <row r="6" spans="1:18" x14ac:dyDescent="0.25">
      <c r="A6" s="15" t="s">
        <v>6</v>
      </c>
      <c r="B6" s="15">
        <v>75</v>
      </c>
      <c r="C6" s="15">
        <v>50</v>
      </c>
      <c r="D6" s="15">
        <v>35</v>
      </c>
      <c r="E6" s="15">
        <f t="shared" si="0"/>
        <v>160</v>
      </c>
      <c r="F6" s="21">
        <f t="shared" si="1"/>
        <v>7.5294117647058817E-2</v>
      </c>
    </row>
    <row r="7" spans="1:18" x14ac:dyDescent="0.25">
      <c r="A7" s="15" t="s">
        <v>7</v>
      </c>
      <c r="B7" s="15">
        <v>80</v>
      </c>
      <c r="C7" s="15">
        <v>55</v>
      </c>
      <c r="D7" s="15">
        <v>40</v>
      </c>
      <c r="E7" s="15">
        <f t="shared" si="0"/>
        <v>175</v>
      </c>
      <c r="F7" s="21">
        <f t="shared" si="1"/>
        <v>8.2352941176470587E-2</v>
      </c>
      <c r="Q7" t="s">
        <v>84</v>
      </c>
      <c r="R7" s="23" t="s">
        <v>83</v>
      </c>
    </row>
    <row r="8" spans="1:18" x14ac:dyDescent="0.25">
      <c r="A8" s="15" t="s">
        <v>8</v>
      </c>
      <c r="B8" s="15">
        <v>90</v>
      </c>
      <c r="C8" s="15">
        <v>60</v>
      </c>
      <c r="D8" s="15">
        <v>40</v>
      </c>
      <c r="E8" s="15">
        <f t="shared" si="0"/>
        <v>190</v>
      </c>
      <c r="F8" s="21">
        <f t="shared" si="1"/>
        <v>8.9411764705882357E-2</v>
      </c>
    </row>
    <row r="9" spans="1:18" x14ac:dyDescent="0.25">
      <c r="A9" s="15" t="s">
        <v>9</v>
      </c>
      <c r="B9" s="15">
        <v>85</v>
      </c>
      <c r="C9" s="15">
        <v>55</v>
      </c>
      <c r="D9" s="15">
        <v>40</v>
      </c>
      <c r="E9" s="15">
        <f t="shared" si="0"/>
        <v>180</v>
      </c>
      <c r="F9" s="21">
        <f t="shared" si="1"/>
        <v>8.4705882352941173E-2</v>
      </c>
      <c r="Q9" s="24" t="s">
        <v>85</v>
      </c>
    </row>
    <row r="10" spans="1:18" x14ac:dyDescent="0.25">
      <c r="A10" s="15" t="s">
        <v>10</v>
      </c>
      <c r="B10" s="15">
        <v>95</v>
      </c>
      <c r="C10" s="15">
        <v>65</v>
      </c>
      <c r="D10" s="15">
        <v>40</v>
      </c>
      <c r="E10" s="15">
        <f t="shared" si="0"/>
        <v>200</v>
      </c>
      <c r="F10" s="21">
        <f t="shared" si="1"/>
        <v>9.4117647058823528E-2</v>
      </c>
    </row>
    <row r="11" spans="1:18" x14ac:dyDescent="0.25">
      <c r="A11" s="15" t="s">
        <v>11</v>
      </c>
      <c r="B11" s="15">
        <v>100</v>
      </c>
      <c r="C11" s="15">
        <v>70</v>
      </c>
      <c r="D11" s="15">
        <v>40</v>
      </c>
      <c r="E11" s="15">
        <f t="shared" si="0"/>
        <v>210</v>
      </c>
      <c r="F11" s="21">
        <f t="shared" si="1"/>
        <v>9.8823529411764699E-2</v>
      </c>
      <c r="Q11">
        <v>1</v>
      </c>
      <c r="R11" s="23" t="s">
        <v>112</v>
      </c>
    </row>
    <row r="12" spans="1:18" x14ac:dyDescent="0.25">
      <c r="A12" s="15" t="s">
        <v>12</v>
      </c>
      <c r="B12" s="15">
        <v>110</v>
      </c>
      <c r="C12" s="15">
        <v>75</v>
      </c>
      <c r="D12" s="15">
        <v>40</v>
      </c>
      <c r="E12" s="15">
        <f t="shared" si="0"/>
        <v>225</v>
      </c>
      <c r="F12" s="21">
        <f t="shared" si="1"/>
        <v>0.10588235294117647</v>
      </c>
      <c r="Q12">
        <v>2</v>
      </c>
      <c r="R12" s="23" t="s">
        <v>87</v>
      </c>
    </row>
    <row r="13" spans="1:18" x14ac:dyDescent="0.25">
      <c r="A13" s="15" t="s">
        <v>13</v>
      </c>
      <c r="B13" s="15">
        <v>120</v>
      </c>
      <c r="C13" s="15">
        <v>80</v>
      </c>
      <c r="D13" s="15">
        <v>40</v>
      </c>
      <c r="E13" s="15">
        <f t="shared" si="0"/>
        <v>240</v>
      </c>
      <c r="F13" s="21">
        <f t="shared" si="1"/>
        <v>0.11294117647058824</v>
      </c>
      <c r="Q13">
        <v>3</v>
      </c>
      <c r="R13" s="23" t="s">
        <v>91</v>
      </c>
    </row>
    <row r="14" spans="1:18" x14ac:dyDescent="0.25">
      <c r="A14" s="20" t="s">
        <v>66</v>
      </c>
      <c r="B14" s="20">
        <f>SUM(B2:B13)</f>
        <v>1000</v>
      </c>
      <c r="C14" s="20">
        <f>SUM(C2:C13)</f>
        <v>690</v>
      </c>
      <c r="D14" s="20">
        <f>SUM(D2:D13)</f>
        <v>435</v>
      </c>
      <c r="E14" s="15">
        <f t="shared" si="0"/>
        <v>2125</v>
      </c>
      <c r="F14" s="21">
        <f t="shared" si="1"/>
        <v>1</v>
      </c>
    </row>
    <row r="17" spans="2:2" x14ac:dyDescent="0.25">
      <c r="B17">
        <v>2024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1018-42E6-4750-A88F-F2C9C55113E5}">
  <dimension ref="A1:R26"/>
  <sheetViews>
    <sheetView workbookViewId="0">
      <selection activeCell="M27" sqref="M27"/>
    </sheetView>
  </sheetViews>
  <sheetFormatPr defaultRowHeight="15" x14ac:dyDescent="0.25"/>
  <cols>
    <col min="2" max="2" width="10.5703125" customWidth="1"/>
    <col min="3" max="3" width="11.85546875" customWidth="1"/>
    <col min="4" max="4" width="10.85546875" customWidth="1"/>
  </cols>
  <sheetData>
    <row r="1" spans="1:18" ht="22.5" x14ac:dyDescent="0.45">
      <c r="A1" s="19" t="s">
        <v>0</v>
      </c>
      <c r="B1" s="19" t="s">
        <v>61</v>
      </c>
      <c r="C1" s="19" t="s">
        <v>62</v>
      </c>
      <c r="D1" s="19" t="s">
        <v>63</v>
      </c>
      <c r="E1" s="18" t="s">
        <v>67</v>
      </c>
      <c r="F1" s="15" t="s">
        <v>68</v>
      </c>
      <c r="Q1" s="22" t="s">
        <v>98</v>
      </c>
    </row>
    <row r="2" spans="1:18" x14ac:dyDescent="0.25">
      <c r="A2" s="15" t="s">
        <v>2</v>
      </c>
      <c r="B2" s="15">
        <v>277</v>
      </c>
      <c r="C2" s="15">
        <v>40</v>
      </c>
      <c r="D2" s="15">
        <v>30</v>
      </c>
      <c r="E2" s="15">
        <f>SUM(B2:D2)</f>
        <v>347</v>
      </c>
      <c r="F2" s="21">
        <f>E2/$E$14</f>
        <v>6.2477493698235506E-2</v>
      </c>
      <c r="Q2" s="31" t="s">
        <v>92</v>
      </c>
    </row>
    <row r="3" spans="1:18" x14ac:dyDescent="0.25">
      <c r="A3" s="15" t="s">
        <v>3</v>
      </c>
      <c r="B3" s="15">
        <v>76</v>
      </c>
      <c r="C3" s="15">
        <v>45</v>
      </c>
      <c r="D3" s="15">
        <v>30</v>
      </c>
      <c r="E3" s="15">
        <f t="shared" ref="E3:E14" si="0">SUM(B3:D3)</f>
        <v>151</v>
      </c>
      <c r="F3" s="21">
        <f t="shared" ref="F3:F14" si="1">E3/$E$14</f>
        <v>2.7187612531508823E-2</v>
      </c>
      <c r="Q3">
        <v>1</v>
      </c>
      <c r="R3" s="30" t="s">
        <v>89</v>
      </c>
    </row>
    <row r="4" spans="1:18" x14ac:dyDescent="0.25">
      <c r="A4" s="15" t="s">
        <v>4</v>
      </c>
      <c r="B4" s="15">
        <v>70</v>
      </c>
      <c r="C4" s="15">
        <v>50</v>
      </c>
      <c r="D4" s="15">
        <v>575</v>
      </c>
      <c r="E4" s="15">
        <f t="shared" si="0"/>
        <v>695</v>
      </c>
      <c r="F4" s="21">
        <f t="shared" si="1"/>
        <v>0.12513503781058696</v>
      </c>
      <c r="Q4">
        <v>2</v>
      </c>
      <c r="R4" s="30" t="s">
        <v>88</v>
      </c>
    </row>
    <row r="5" spans="1:18" x14ac:dyDescent="0.25">
      <c r="A5" s="15" t="s">
        <v>5</v>
      </c>
      <c r="B5" s="15">
        <v>-65</v>
      </c>
      <c r="C5" s="15">
        <v>157</v>
      </c>
      <c r="D5" s="15">
        <v>130</v>
      </c>
      <c r="E5" s="15">
        <f t="shared" si="0"/>
        <v>222</v>
      </c>
      <c r="F5" s="21">
        <f t="shared" si="1"/>
        <v>3.9971191933741448E-2</v>
      </c>
    </row>
    <row r="6" spans="1:18" x14ac:dyDescent="0.25">
      <c r="A6" s="15" t="s">
        <v>6</v>
      </c>
      <c r="B6" s="15">
        <v>-75</v>
      </c>
      <c r="C6" s="15">
        <v>250</v>
      </c>
      <c r="D6" s="15">
        <v>235</v>
      </c>
      <c r="E6" s="15">
        <f t="shared" si="0"/>
        <v>410</v>
      </c>
      <c r="F6" s="21">
        <f t="shared" si="1"/>
        <v>7.382066978754051E-2</v>
      </c>
      <c r="Q6" t="s">
        <v>90</v>
      </c>
      <c r="R6" t="s">
        <v>79</v>
      </c>
    </row>
    <row r="7" spans="1:18" x14ac:dyDescent="0.25">
      <c r="A7" s="15" t="s">
        <v>7</v>
      </c>
      <c r="B7" s="15">
        <v>280</v>
      </c>
      <c r="C7" s="15">
        <v>174</v>
      </c>
      <c r="D7" s="15">
        <v>340</v>
      </c>
      <c r="E7" s="15">
        <f t="shared" si="0"/>
        <v>794</v>
      </c>
      <c r="F7" s="21">
        <f t="shared" si="1"/>
        <v>0.14296002880806627</v>
      </c>
    </row>
    <row r="8" spans="1:18" x14ac:dyDescent="0.25">
      <c r="A8" s="15" t="s">
        <v>8</v>
      </c>
      <c r="B8" s="15">
        <v>90</v>
      </c>
      <c r="C8" s="15">
        <v>260</v>
      </c>
      <c r="D8" s="15">
        <v>40</v>
      </c>
      <c r="E8" s="15">
        <f t="shared" si="0"/>
        <v>390</v>
      </c>
      <c r="F8" s="21">
        <f t="shared" si="1"/>
        <v>7.0219661505221465E-2</v>
      </c>
    </row>
    <row r="9" spans="1:18" x14ac:dyDescent="0.25">
      <c r="A9" s="15" t="s">
        <v>9</v>
      </c>
      <c r="B9" s="15">
        <v>575</v>
      </c>
      <c r="C9" s="15">
        <v>55</v>
      </c>
      <c r="D9" s="15">
        <v>40</v>
      </c>
      <c r="E9" s="15">
        <f t="shared" si="0"/>
        <v>670</v>
      </c>
      <c r="F9" s="21">
        <f t="shared" si="1"/>
        <v>0.12063377745768815</v>
      </c>
    </row>
    <row r="10" spans="1:18" x14ac:dyDescent="0.25">
      <c r="A10" s="15" t="s">
        <v>10</v>
      </c>
      <c r="B10" s="15">
        <v>195</v>
      </c>
      <c r="C10" s="15">
        <v>265</v>
      </c>
      <c r="D10" s="15">
        <v>140</v>
      </c>
      <c r="E10" s="15">
        <f t="shared" si="0"/>
        <v>600</v>
      </c>
      <c r="F10" s="21">
        <f t="shared" si="1"/>
        <v>0.10803024846957147</v>
      </c>
      <c r="Q10" s="31" t="s">
        <v>101</v>
      </c>
    </row>
    <row r="11" spans="1:18" x14ac:dyDescent="0.25">
      <c r="A11" s="15" t="s">
        <v>11</v>
      </c>
      <c r="B11" s="15">
        <v>100</v>
      </c>
      <c r="C11" s="15">
        <v>170</v>
      </c>
      <c r="D11" s="15">
        <v>140</v>
      </c>
      <c r="E11" s="15">
        <f t="shared" si="0"/>
        <v>410</v>
      </c>
      <c r="F11" s="21">
        <f t="shared" si="1"/>
        <v>7.382066978754051E-2</v>
      </c>
      <c r="Q11" s="30">
        <v>1</v>
      </c>
      <c r="R11" s="30" t="s">
        <v>99</v>
      </c>
    </row>
    <row r="12" spans="1:18" x14ac:dyDescent="0.25">
      <c r="A12" s="15" t="s">
        <v>12</v>
      </c>
      <c r="B12" s="15">
        <v>110</v>
      </c>
      <c r="C12" s="15">
        <v>175</v>
      </c>
      <c r="D12" s="15">
        <v>240</v>
      </c>
      <c r="E12" s="15">
        <f t="shared" si="0"/>
        <v>525</v>
      </c>
      <c r="F12" s="21">
        <f t="shared" si="1"/>
        <v>9.4526467410875045E-2</v>
      </c>
      <c r="Q12" s="30">
        <v>2</v>
      </c>
      <c r="R12" s="30" t="s">
        <v>102</v>
      </c>
    </row>
    <row r="13" spans="1:18" x14ac:dyDescent="0.25">
      <c r="A13" s="15" t="s">
        <v>13</v>
      </c>
      <c r="B13" s="15">
        <v>120</v>
      </c>
      <c r="C13" s="15">
        <v>180</v>
      </c>
      <c r="D13" s="15">
        <v>40</v>
      </c>
      <c r="E13" s="15">
        <f t="shared" si="0"/>
        <v>340</v>
      </c>
      <c r="F13" s="21">
        <f t="shared" si="1"/>
        <v>6.1217140799423836E-2</v>
      </c>
      <c r="Q13" s="30">
        <v>3</v>
      </c>
      <c r="R13" s="30" t="s">
        <v>103</v>
      </c>
    </row>
    <row r="14" spans="1:18" x14ac:dyDescent="0.25">
      <c r="A14" s="20" t="s">
        <v>66</v>
      </c>
      <c r="B14" s="20">
        <f>SUM(B2:B13)</f>
        <v>1753</v>
      </c>
      <c r="C14" s="20">
        <f>SUM(C2:C13)</f>
        <v>1821</v>
      </c>
      <c r="D14" s="20">
        <f>SUM(D2:D13)</f>
        <v>1980</v>
      </c>
      <c r="E14" s="15">
        <f t="shared" si="0"/>
        <v>5554</v>
      </c>
      <c r="F14" s="21">
        <f t="shared" si="1"/>
        <v>1</v>
      </c>
    </row>
    <row r="16" spans="1:18" x14ac:dyDescent="0.25">
      <c r="B16" s="24" t="s">
        <v>113</v>
      </c>
      <c r="Q16" s="31" t="s">
        <v>100</v>
      </c>
    </row>
    <row r="18" spans="17:18" ht="15.75" x14ac:dyDescent="0.25">
      <c r="Q18" s="29" t="s">
        <v>114</v>
      </c>
    </row>
    <row r="19" spans="17:18" ht="15.75" x14ac:dyDescent="0.25">
      <c r="Q19">
        <v>1</v>
      </c>
      <c r="R19" s="33" t="s">
        <v>115</v>
      </c>
    </row>
    <row r="20" spans="17:18" ht="15.75" x14ac:dyDescent="0.25">
      <c r="Q20">
        <v>2</v>
      </c>
      <c r="R20" s="33" t="s">
        <v>118</v>
      </c>
    </row>
    <row r="21" spans="17:18" ht="15.75" x14ac:dyDescent="0.25">
      <c r="Q21" s="29" t="s">
        <v>116</v>
      </c>
    </row>
    <row r="22" spans="17:18" ht="15.75" x14ac:dyDescent="0.25">
      <c r="Q22">
        <v>1</v>
      </c>
      <c r="R22" s="32" t="s">
        <v>117</v>
      </c>
    </row>
    <row r="23" spans="17:18" ht="15.75" x14ac:dyDescent="0.25">
      <c r="Q23">
        <v>2</v>
      </c>
      <c r="R23" s="32" t="s">
        <v>119</v>
      </c>
    </row>
    <row r="24" spans="17:18" ht="15.75" x14ac:dyDescent="0.25">
      <c r="Q24">
        <v>3</v>
      </c>
      <c r="R24" s="32" t="s">
        <v>120</v>
      </c>
    </row>
    <row r="25" spans="17:18" ht="15.75" x14ac:dyDescent="0.25">
      <c r="R25" s="32" t="s">
        <v>142</v>
      </c>
    </row>
    <row r="26" spans="17:18" ht="15.75" x14ac:dyDescent="0.25">
      <c r="R26" s="32" t="s">
        <v>143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7181-256D-4A3C-A617-65BECD50A3B2}">
  <dimension ref="A1:Q10"/>
  <sheetViews>
    <sheetView workbookViewId="0">
      <selection activeCell="K14" sqref="K14"/>
    </sheetView>
  </sheetViews>
  <sheetFormatPr defaultRowHeight="15" x14ac:dyDescent="0.25"/>
  <cols>
    <col min="1" max="1" width="15.42578125" customWidth="1"/>
  </cols>
  <sheetData>
    <row r="1" spans="1:17" ht="22.5" x14ac:dyDescent="0.45">
      <c r="A1" s="34" t="s">
        <v>0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66</v>
      </c>
      <c r="P1" s="35" t="s">
        <v>135</v>
      </c>
    </row>
    <row r="2" spans="1:17" x14ac:dyDescent="0.25">
      <c r="A2" s="19" t="s">
        <v>61</v>
      </c>
      <c r="B2" s="15">
        <v>50</v>
      </c>
      <c r="C2" s="15">
        <v>160</v>
      </c>
      <c r="D2" s="15">
        <v>170</v>
      </c>
      <c r="E2" s="15">
        <v>165</v>
      </c>
      <c r="F2" s="15">
        <v>175</v>
      </c>
      <c r="G2" s="15">
        <v>280</v>
      </c>
      <c r="H2" s="15">
        <v>390</v>
      </c>
      <c r="I2" s="15">
        <v>385</v>
      </c>
      <c r="J2" s="15">
        <v>395</v>
      </c>
      <c r="K2" s="15">
        <v>300</v>
      </c>
      <c r="L2" s="15">
        <v>110</v>
      </c>
      <c r="M2" s="15">
        <v>120</v>
      </c>
      <c r="N2" s="20">
        <f>SUM(B2:M2)</f>
        <v>2700</v>
      </c>
    </row>
    <row r="3" spans="1:17" x14ac:dyDescent="0.25">
      <c r="A3" s="19" t="s">
        <v>62</v>
      </c>
      <c r="B3" s="15">
        <v>40</v>
      </c>
      <c r="C3" s="15">
        <v>45</v>
      </c>
      <c r="D3" s="15">
        <v>150</v>
      </c>
      <c r="E3" s="15">
        <v>245</v>
      </c>
      <c r="F3" s="15">
        <v>150</v>
      </c>
      <c r="G3" s="15">
        <v>255</v>
      </c>
      <c r="H3" s="15">
        <v>360</v>
      </c>
      <c r="I3" s="15">
        <v>355</v>
      </c>
      <c r="J3" s="15">
        <v>365</v>
      </c>
      <c r="K3" s="15">
        <v>470</v>
      </c>
      <c r="L3" s="15">
        <v>475</v>
      </c>
      <c r="M3" s="15">
        <v>480</v>
      </c>
      <c r="N3" s="20">
        <f>SUM(B3:M3)</f>
        <v>3390</v>
      </c>
      <c r="P3" s="24" t="s">
        <v>139</v>
      </c>
    </row>
    <row r="4" spans="1:17" x14ac:dyDescent="0.25">
      <c r="A4" s="15" t="s">
        <v>63</v>
      </c>
      <c r="B4" s="15">
        <v>30</v>
      </c>
      <c r="C4" s="15">
        <v>130</v>
      </c>
      <c r="D4" s="15">
        <v>90</v>
      </c>
      <c r="E4" s="15">
        <v>130</v>
      </c>
      <c r="F4" s="15">
        <v>135</v>
      </c>
      <c r="G4" s="15">
        <v>240</v>
      </c>
      <c r="H4" s="15">
        <v>340</v>
      </c>
      <c r="I4" s="15">
        <v>340</v>
      </c>
      <c r="J4" s="15">
        <v>340</v>
      </c>
      <c r="K4" s="15">
        <v>440</v>
      </c>
      <c r="L4" s="15">
        <v>540</v>
      </c>
      <c r="M4" s="15">
        <v>540</v>
      </c>
      <c r="N4" s="20">
        <f>SUM(B4:M4)</f>
        <v>3295</v>
      </c>
      <c r="P4">
        <v>1</v>
      </c>
      <c r="Q4" s="23" t="s">
        <v>134</v>
      </c>
    </row>
    <row r="5" spans="1:17" x14ac:dyDescent="0.25">
      <c r="A5" s="15" t="s">
        <v>67</v>
      </c>
      <c r="B5" s="15">
        <f t="shared" ref="B5:N5" si="0">SUM(B2:B4)</f>
        <v>120</v>
      </c>
      <c r="C5" s="15">
        <f t="shared" si="0"/>
        <v>335</v>
      </c>
      <c r="D5" s="15">
        <f t="shared" si="0"/>
        <v>410</v>
      </c>
      <c r="E5" s="15">
        <f t="shared" si="0"/>
        <v>540</v>
      </c>
      <c r="F5" s="15">
        <f t="shared" si="0"/>
        <v>460</v>
      </c>
      <c r="G5" s="15">
        <f t="shared" si="0"/>
        <v>775</v>
      </c>
      <c r="H5" s="15">
        <f t="shared" si="0"/>
        <v>1090</v>
      </c>
      <c r="I5" s="15">
        <f t="shared" si="0"/>
        <v>1080</v>
      </c>
      <c r="J5" s="15">
        <f t="shared" si="0"/>
        <v>1100</v>
      </c>
      <c r="K5" s="15">
        <f t="shared" si="0"/>
        <v>1210</v>
      </c>
      <c r="L5" s="15">
        <f t="shared" si="0"/>
        <v>1125</v>
      </c>
      <c r="M5" s="15">
        <f t="shared" si="0"/>
        <v>1140</v>
      </c>
      <c r="N5" s="15">
        <f t="shared" si="0"/>
        <v>9385</v>
      </c>
      <c r="P5">
        <v>2</v>
      </c>
      <c r="Q5" s="23" t="s">
        <v>133</v>
      </c>
    </row>
    <row r="6" spans="1:17" x14ac:dyDescent="0.25">
      <c r="P6">
        <v>3</v>
      </c>
      <c r="Q6" s="23" t="s">
        <v>136</v>
      </c>
    </row>
    <row r="7" spans="1:17" x14ac:dyDescent="0.25">
      <c r="P7">
        <v>4</v>
      </c>
      <c r="Q7" s="23" t="s">
        <v>137</v>
      </c>
    </row>
    <row r="8" spans="1:17" x14ac:dyDescent="0.25">
      <c r="P8">
        <v>5</v>
      </c>
      <c r="Q8" s="23" t="s">
        <v>138</v>
      </c>
    </row>
    <row r="9" spans="1:17" x14ac:dyDescent="0.25">
      <c r="P9">
        <v>6</v>
      </c>
      <c r="Q9" s="23" t="s">
        <v>140</v>
      </c>
    </row>
    <row r="10" spans="1:17" x14ac:dyDescent="0.25">
      <c r="P10">
        <v>7</v>
      </c>
      <c r="Q10" s="23" t="s">
        <v>141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4549-117B-4866-9776-41739CD4CB75}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выбор</vt:lpstr>
      <vt:lpstr>тренд во времени</vt:lpstr>
      <vt:lpstr>лин_ умен.</vt:lpstr>
      <vt:lpstr>пай</vt:lpstr>
      <vt:lpstr>рассеивание</vt:lpstr>
      <vt:lpstr>столбчатая</vt:lpstr>
      <vt:lpstr>спарклайны</vt:lpstr>
      <vt:lpstr>от группировки</vt:lpstr>
      <vt:lpstr>созд_шаблона</vt:lpstr>
      <vt:lpstr>вст_шаблона</vt:lpstr>
      <vt:lpstr>коп_форм</vt:lpstr>
      <vt:lpstr>Диаграммы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2025-09-16T19:44:11Z</dcterms:created>
  <dcterms:modified xsi:type="dcterms:W3CDTF">2025-09-20T14:27:01Z</dcterms:modified>
</cp:coreProperties>
</file>