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_doc\Чтение лекций_дом\курс с 10.09  по 5.11\8_Excel_4\"/>
    </mc:Choice>
  </mc:AlternateContent>
  <xr:revisionPtr revIDLastSave="0" documentId="13_ncr:1_{63B642B6-0723-46C8-87A7-0C7A45A63C43}" xr6:coauthVersionLast="47" xr6:coauthVersionMax="47" xr10:uidLastSave="{00000000-0000-0000-0000-000000000000}"/>
  <bookViews>
    <workbookView xWindow="10710" yWindow="30" windowWidth="19860" windowHeight="13035" tabRatio="867" firstSheet="2" activeTab="9" xr2:uid="{89E9594C-A976-4865-83B5-75C82E982C29}"/>
  </bookViews>
  <sheets>
    <sheet name="описат_ст" sheetId="1" r:id="rId1"/>
    <sheet name="регрессия" sheetId="2" r:id="rId2"/>
    <sheet name="тест" sheetId="3" r:id="rId3"/>
    <sheet name="поиск_реш_2_чистый" sheetId="11" r:id="rId4"/>
    <sheet name="Поиск_реш_чист" sheetId="8" r:id="rId5"/>
    <sheet name="описат_ст-готов" sheetId="4" r:id="rId6"/>
    <sheet name="регрессия_готов" sheetId="5" r:id="rId7"/>
    <sheet name="тест_готов" sheetId="6" r:id="rId8"/>
    <sheet name="поиск_реш_2_готово_" sheetId="10" r:id="rId9"/>
    <sheet name="Поиск_реш_1" sheetId="7" r:id="rId10"/>
  </sheets>
  <definedNames>
    <definedName name="solver_adj" localSheetId="9" hidden="1">Поиск_реш_1!$B$11:$E$11</definedName>
    <definedName name="solver_adj" localSheetId="8" hidden="1">поиск_реш_2_готово_!$B$6,поиск_реш_2_готово_!$C$6,поиск_реш_2_готово_!$D$6</definedName>
    <definedName name="solver_adj" localSheetId="3" hidden="1">поиск_реш_2_чистый!$B$6,поиск_реш_2_чистый!$C$6,поиск_реш_2_чистый!$D$6</definedName>
    <definedName name="solver_cvg" localSheetId="9" hidden="1">0.0001</definedName>
    <definedName name="solver_cvg" localSheetId="8" hidden="1">0.0001</definedName>
    <definedName name="solver_cvg" localSheetId="3" hidden="1">0.0001</definedName>
    <definedName name="solver_drv" localSheetId="9" hidden="1">1</definedName>
    <definedName name="solver_drv" localSheetId="8" hidden="1">2</definedName>
    <definedName name="solver_drv" localSheetId="3" hidden="1">2</definedName>
    <definedName name="solver_eng" localSheetId="0" hidden="1">1</definedName>
    <definedName name="solver_eng" localSheetId="9" hidden="1">1</definedName>
    <definedName name="solver_eng" localSheetId="8" hidden="1">1</definedName>
    <definedName name="solver_eng" localSheetId="3" hidden="1">1</definedName>
    <definedName name="solver_est" localSheetId="9" hidden="1">1</definedName>
    <definedName name="solver_est" localSheetId="8" hidden="1">1</definedName>
    <definedName name="solver_est" localSheetId="3" hidden="1">1</definedName>
    <definedName name="solver_itr" localSheetId="9" hidden="1">2147483647</definedName>
    <definedName name="solver_itr" localSheetId="8" hidden="1">2147483647</definedName>
    <definedName name="solver_itr" localSheetId="3" hidden="1">2147483647</definedName>
    <definedName name="solver_lhs1" localSheetId="9" hidden="1">Поиск_реш_1!$B$11:$E$11</definedName>
    <definedName name="solver_lhs1" localSheetId="8" hidden="1">поиск_реш_2_готово_!$B$6</definedName>
    <definedName name="solver_lhs1" localSheetId="3" hidden="1">поиск_реш_2_чистый!$B$6</definedName>
    <definedName name="solver_lhs2" localSheetId="9" hidden="1">Поиск_реш_1!$F$11</definedName>
    <definedName name="solver_lhs2" localSheetId="8" hidden="1">поиск_реш_2_готово_!$B$6:$D$6</definedName>
    <definedName name="solver_lhs2" localSheetId="3" hidden="1">поиск_реш_2_чистый!$B$6:$D$6</definedName>
    <definedName name="solver_lhs3" localSheetId="8" hidden="1">поиск_реш_2_готово_!$C$6</definedName>
    <definedName name="solver_lhs3" localSheetId="3" hidden="1">поиск_реш_2_чистый!$C$6</definedName>
    <definedName name="solver_lhs4" localSheetId="8" hidden="1">поиск_реш_2_готово_!$D$6</definedName>
    <definedName name="solver_lhs4" localSheetId="3" hidden="1">поиск_реш_2_чистый!$D$6</definedName>
    <definedName name="solver_lhs5" localSheetId="8" hidden="1">поиск_реш_2_готово_!$E$8</definedName>
    <definedName name="solver_lhs5" localSheetId="3" hidden="1">поиск_реш_2_чистый!$E$8</definedName>
    <definedName name="solver_mip" localSheetId="9" hidden="1">2147483647</definedName>
    <definedName name="solver_mip" localSheetId="8" hidden="1">2147483647</definedName>
    <definedName name="solver_mip" localSheetId="3" hidden="1">2147483647</definedName>
    <definedName name="solver_mni" localSheetId="9" hidden="1">30</definedName>
    <definedName name="solver_mni" localSheetId="8" hidden="1">30</definedName>
    <definedName name="solver_mni" localSheetId="3" hidden="1">30</definedName>
    <definedName name="solver_mrt" localSheetId="9" hidden="1">0.075</definedName>
    <definedName name="solver_mrt" localSheetId="8" hidden="1">0.075</definedName>
    <definedName name="solver_mrt" localSheetId="3" hidden="1">0.075</definedName>
    <definedName name="solver_msl" localSheetId="9" hidden="1">2</definedName>
    <definedName name="solver_msl" localSheetId="8" hidden="1">2</definedName>
    <definedName name="solver_msl" localSheetId="3" hidden="1">2</definedName>
    <definedName name="solver_neg" localSheetId="0" hidden="1">1</definedName>
    <definedName name="solver_neg" localSheetId="9" hidden="1">1</definedName>
    <definedName name="solver_neg" localSheetId="8" hidden="1">1</definedName>
    <definedName name="solver_neg" localSheetId="3" hidden="1">1</definedName>
    <definedName name="solver_nod" localSheetId="9" hidden="1">2147483647</definedName>
    <definedName name="solver_nod" localSheetId="8" hidden="1">2147483647</definedName>
    <definedName name="solver_nod" localSheetId="3" hidden="1">2147483647</definedName>
    <definedName name="solver_num" localSheetId="0" hidden="1">0</definedName>
    <definedName name="solver_num" localSheetId="9" hidden="1">2</definedName>
    <definedName name="solver_num" localSheetId="8" hidden="1">5</definedName>
    <definedName name="solver_num" localSheetId="3" hidden="1">5</definedName>
    <definedName name="solver_nwt" localSheetId="9" hidden="1">1</definedName>
    <definedName name="solver_nwt" localSheetId="8" hidden="1">1</definedName>
    <definedName name="solver_nwt" localSheetId="3" hidden="1">1</definedName>
    <definedName name="solver_opt" localSheetId="0" hidden="1">описат_ст!$D$26</definedName>
    <definedName name="solver_opt" localSheetId="9" hidden="1">Поиск_реш_1!$B$15</definedName>
    <definedName name="solver_opt" localSheetId="8" hidden="1">поиск_реш_2_готово_!$E$7</definedName>
    <definedName name="solver_opt" localSheetId="3" hidden="1">поиск_реш_2_чистый!$E$7</definedName>
    <definedName name="solver_pre" localSheetId="9" hidden="1">0.000001</definedName>
    <definedName name="solver_pre" localSheetId="8" hidden="1">0.000001</definedName>
    <definedName name="solver_pre" localSheetId="3" hidden="1">0.000001</definedName>
    <definedName name="solver_rbv" localSheetId="9" hidden="1">1</definedName>
    <definedName name="solver_rbv" localSheetId="8" hidden="1">2</definedName>
    <definedName name="solver_rbv" localSheetId="3" hidden="1">2</definedName>
    <definedName name="solver_rel1" localSheetId="9" hidden="1">3</definedName>
    <definedName name="solver_rel1" localSheetId="8" hidden="1">1</definedName>
    <definedName name="solver_rel1" localSheetId="3" hidden="1">1</definedName>
    <definedName name="solver_rel2" localSheetId="9" hidden="1">2</definedName>
    <definedName name="solver_rel2" localSheetId="8" hidden="1">3</definedName>
    <definedName name="solver_rel2" localSheetId="3" hidden="1">3</definedName>
    <definedName name="solver_rel3" localSheetId="8" hidden="1">1</definedName>
    <definedName name="solver_rel3" localSheetId="3" hidden="1">1</definedName>
    <definedName name="solver_rel4" localSheetId="8" hidden="1">1</definedName>
    <definedName name="solver_rel4" localSheetId="3" hidden="1">1</definedName>
    <definedName name="solver_rel5" localSheetId="8" hidden="1">1</definedName>
    <definedName name="solver_rel5" localSheetId="3" hidden="1">1</definedName>
    <definedName name="solver_rhs1" localSheetId="9" hidden="1">0</definedName>
    <definedName name="solver_rhs1" localSheetId="8" hidden="1">поиск_реш_2_готово_!$B$4</definedName>
    <definedName name="solver_rhs1" localSheetId="3" hidden="1">поиск_реш_2_чистый!$B$4</definedName>
    <definedName name="solver_rhs2" localSheetId="9" hidden="1">40000</definedName>
    <definedName name="solver_rhs2" localSheetId="8" hidden="1">0</definedName>
    <definedName name="solver_rhs2" localSheetId="3" hidden="1">0</definedName>
    <definedName name="solver_rhs3" localSheetId="8" hidden="1">поиск_реш_2_готово_!$C$4</definedName>
    <definedName name="solver_rhs3" localSheetId="3" hidden="1">поиск_реш_2_чистый!$C$4</definedName>
    <definedName name="solver_rhs4" localSheetId="8" hidden="1">поиск_реш_2_готово_!$D$4</definedName>
    <definedName name="solver_rhs4" localSheetId="3" hidden="1">поиск_реш_2_чистый!$D$4</definedName>
    <definedName name="solver_rhs5" localSheetId="8" hidden="1">15000</definedName>
    <definedName name="solver_rhs5" localSheetId="3" hidden="1">15000</definedName>
    <definedName name="solver_rlx" localSheetId="9" hidden="1">2</definedName>
    <definedName name="solver_rlx" localSheetId="8" hidden="1">2</definedName>
    <definedName name="solver_rlx" localSheetId="3" hidden="1">2</definedName>
    <definedName name="solver_rsd" localSheetId="9" hidden="1">0</definedName>
    <definedName name="solver_rsd" localSheetId="8" hidden="1">0</definedName>
    <definedName name="solver_rsd" localSheetId="3" hidden="1">0</definedName>
    <definedName name="solver_scl" localSheetId="9" hidden="1">1</definedName>
    <definedName name="solver_scl" localSheetId="8" hidden="1">2</definedName>
    <definedName name="solver_scl" localSheetId="3" hidden="1">2</definedName>
    <definedName name="solver_sho" localSheetId="9" hidden="1">2</definedName>
    <definedName name="solver_sho" localSheetId="8" hidden="1">2</definedName>
    <definedName name="solver_sho" localSheetId="3" hidden="1">2</definedName>
    <definedName name="solver_ssz" localSheetId="9" hidden="1">100</definedName>
    <definedName name="solver_ssz" localSheetId="8" hidden="1">100</definedName>
    <definedName name="solver_ssz" localSheetId="3" hidden="1">100</definedName>
    <definedName name="solver_tim" localSheetId="9" hidden="1">2147483647</definedName>
    <definedName name="solver_tim" localSheetId="8" hidden="1">2147483647</definedName>
    <definedName name="solver_tim" localSheetId="3" hidden="1">2147483647</definedName>
    <definedName name="solver_tol" localSheetId="9" hidden="1">0.01</definedName>
    <definedName name="solver_tol" localSheetId="8" hidden="1">0.01</definedName>
    <definedName name="solver_tol" localSheetId="3" hidden="1">0.01</definedName>
    <definedName name="solver_typ" localSheetId="0" hidden="1">1</definedName>
    <definedName name="solver_typ" localSheetId="9" hidden="1">1</definedName>
    <definedName name="solver_typ" localSheetId="8" hidden="1">1</definedName>
    <definedName name="solver_typ" localSheetId="3" hidden="1">1</definedName>
    <definedName name="solver_val" localSheetId="0" hidden="1">0</definedName>
    <definedName name="solver_val" localSheetId="9" hidden="1">0</definedName>
    <definedName name="solver_val" localSheetId="8" hidden="1">0</definedName>
    <definedName name="solver_val" localSheetId="3" hidden="1">0</definedName>
    <definedName name="solver_ver" localSheetId="0" hidden="1">3</definedName>
    <definedName name="solver_ver" localSheetId="9" hidden="1">3</definedName>
    <definedName name="solver_ver" localSheetId="8" hidden="1">3</definedName>
    <definedName name="solver_ver" localSheetId="3" hidden="1">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10" l="1"/>
  <c r="E8" i="10"/>
  <c r="E8" i="11"/>
  <c r="E7" i="11"/>
  <c r="C8" i="7"/>
  <c r="D8" i="7"/>
  <c r="E8" i="7"/>
  <c r="F7" i="7"/>
  <c r="C7" i="7"/>
  <c r="D7" i="7"/>
  <c r="E7" i="7"/>
  <c r="B7" i="7"/>
  <c r="B13" i="7"/>
  <c r="C13" i="7"/>
  <c r="D13" i="7"/>
  <c r="D15" i="7" s="1"/>
  <c r="D16" i="7" s="1"/>
  <c r="E13" i="7"/>
  <c r="B5" i="7"/>
  <c r="F12" i="7"/>
  <c r="C12" i="7"/>
  <c r="D12" i="7"/>
  <c r="E12" i="7"/>
  <c r="C5" i="7"/>
  <c r="D5" i="7"/>
  <c r="E5" i="7"/>
  <c r="B12" i="7"/>
  <c r="F5" i="7" l="1"/>
  <c r="C15" i="7"/>
  <c r="C16" i="7" s="1"/>
  <c r="F13" i="7"/>
  <c r="E15" i="7"/>
  <c r="E16" i="7" s="1"/>
  <c r="B8" i="7" l="1"/>
  <c r="B15" i="7" s="1"/>
  <c r="B16" i="7" s="1"/>
  <c r="F8" i="7"/>
  <c r="F15" i="7" l="1"/>
  <c r="F16" i="7" s="1"/>
</calcChain>
</file>

<file path=xl/sharedStrings.xml><?xml version="1.0" encoding="utf-8"?>
<sst xmlns="http://schemas.openxmlformats.org/spreadsheetml/2006/main" count="295" uniqueCount="181">
  <si>
    <t>Способ активации надстройки “Анализ данных”:</t>
  </si>
  <si>
    <t>Файл -&gt; Параметры -&gt; Надстройки.</t>
  </si>
  <si>
    <t xml:space="preserve">  </t>
  </si>
  <si>
    <t>Зарплата</t>
  </si>
  <si>
    <t>Столбец1</t>
  </si>
  <si>
    <t>Среднее</t>
  </si>
  <si>
    <t>Стандартная ошибка</t>
  </si>
  <si>
    <t>Медиана</t>
  </si>
  <si>
    <t>Мода</t>
  </si>
  <si>
    <t>Стандартное отклонение</t>
  </si>
  <si>
    <t>Дисперсия выборки</t>
  </si>
  <si>
    <t>Эксцесс</t>
  </si>
  <si>
    <t>Асимметричность</t>
  </si>
  <si>
    <t>Интервал</t>
  </si>
  <si>
    <t>Минимум</t>
  </si>
  <si>
    <t>Максимум</t>
  </si>
  <si>
    <t>Сумма</t>
  </si>
  <si>
    <t>Счет</t>
  </si>
  <si>
    <t>Использование инструмента “Описательная статистика”:</t>
  </si>
  <si>
    <t>выберите Описательная статистика-OK</t>
  </si>
  <si>
    <t>Данные -&gt; группа Анализ-&gt; Анализ данных</t>
  </si>
  <si>
    <t xml:space="preserve">выходной диапазон -место, где нужно разместить результаты </t>
  </si>
  <si>
    <r>
      <t>В окне укажите</t>
    </r>
    <r>
      <rPr>
        <b/>
        <sz val="11"/>
        <color rgb="FF0070C0"/>
        <rFont val="Times New Roman"/>
        <family val="1"/>
        <charset val="204"/>
      </rPr>
      <t xml:space="preserve"> входной интервал-диапазон ячеек с данными</t>
    </r>
  </si>
  <si>
    <r>
      <t>В списке</t>
    </r>
    <r>
      <rPr>
        <b/>
        <sz val="11"/>
        <color rgb="FF0070C0"/>
        <rFont val="Times New Roman"/>
        <family val="1"/>
        <charset val="204"/>
      </rPr>
      <t xml:space="preserve"> Управление-Надстройки Excel-Перейти</t>
    </r>
  </si>
  <si>
    <r>
      <t>Установите</t>
    </r>
    <r>
      <rPr>
        <b/>
        <sz val="11"/>
        <color rgb="FF0070C0"/>
        <rFont val="Times New Roman"/>
        <family val="1"/>
        <charset val="204"/>
      </rPr>
      <t xml:space="preserve"> флажок </t>
    </r>
    <r>
      <rPr>
        <sz val="11"/>
        <color rgb="FF0070C0"/>
        <rFont val="Times New Roman"/>
        <family val="1"/>
        <charset val="204"/>
      </rPr>
      <t xml:space="preserve">на </t>
    </r>
    <r>
      <rPr>
        <b/>
        <sz val="11"/>
        <color rgb="FF0070C0"/>
        <rFont val="Times New Roman"/>
        <family val="1"/>
        <charset val="204"/>
      </rPr>
      <t>Пакет анализа-OK</t>
    </r>
  </si>
  <si>
    <r>
      <t xml:space="preserve">Вкладка </t>
    </r>
    <r>
      <rPr>
        <b/>
        <sz val="11"/>
        <color rgb="FF0070C0"/>
        <rFont val="Times New Roman"/>
        <family val="1"/>
        <charset val="204"/>
      </rPr>
      <t>“Данные” -&gt; группа “Анализ” -&gt; “Анализ данных” должна появиться.</t>
    </r>
  </si>
  <si>
    <r>
      <t xml:space="preserve">флажок </t>
    </r>
    <r>
      <rPr>
        <b/>
        <sz val="11"/>
        <color rgb="FF0070C0"/>
        <rFont val="Times New Roman"/>
        <family val="1"/>
        <charset val="204"/>
      </rPr>
      <t>Итоговая статистика -OK. </t>
    </r>
  </si>
  <si>
    <t>Расходы на рекламу (X)</t>
  </si>
  <si>
    <t>Объем продаж (Y)</t>
  </si>
  <si>
    <t>Использование инструмента “Регрессия”:</t>
  </si>
  <si>
    <t xml:space="preserve">входной X-интервал (диапазон ячеек с независимой переменной), </t>
  </si>
  <si>
    <t xml:space="preserve">выходной диапазон (место, где нужно разместить результаты) </t>
  </si>
  <si>
    <t>и флажки напротив нужных параметров (например, “Линейная подгонка”, “Остатки”). -OK. </t>
  </si>
  <si>
    <r>
      <t xml:space="preserve">Данные-&gt; группа “Анализ-&gt; “Анализ данных” -&gt; </t>
    </r>
    <r>
      <rPr>
        <sz val="12"/>
        <color rgb="FF0070C0"/>
        <rFont val="Times New Roman"/>
        <family val="1"/>
        <charset val="204"/>
      </rPr>
      <t xml:space="preserve">выберите </t>
    </r>
    <r>
      <rPr>
        <b/>
        <sz val="12"/>
        <color rgb="FF0070C0"/>
        <rFont val="Times New Roman"/>
        <family val="1"/>
        <charset val="204"/>
      </rPr>
      <t>“Регрессия” - “OK”.</t>
    </r>
  </si>
  <si>
    <r>
      <t>выберите “</t>
    </r>
    <r>
      <rPr>
        <b/>
        <sz val="11"/>
        <color rgb="FF0070C0"/>
        <rFont val="Calibri"/>
        <family val="2"/>
        <charset val="204"/>
        <scheme val="minor"/>
      </rPr>
      <t>Регрессия” - “OK”.</t>
    </r>
  </si>
  <si>
    <r>
      <t>В окне -входной Y-интервал (</t>
    </r>
    <r>
      <rPr>
        <sz val="12"/>
        <color rgb="FF0070C0"/>
        <rFont val="Times New Roman"/>
        <family val="1"/>
        <charset val="204"/>
      </rPr>
      <t>диапазон ячеек с зависимой переменной)</t>
    </r>
  </si>
  <si>
    <t>(коэффициенты регрессии, R-квадрат, стандартные ошибки, t-статистики, p-значения и т.д.).</t>
  </si>
  <si>
    <t>Excel отобразит таблицу с результатами регрессионного анализа</t>
  </si>
  <si>
    <t>ВЫВОД ИТОГОВ</t>
  </si>
  <si>
    <t>Регрессионная статистика</t>
  </si>
  <si>
    <t>Множественный R</t>
  </si>
  <si>
    <t>R-квадрат</t>
  </si>
  <si>
    <t>Нормированный R-квадрат</t>
  </si>
  <si>
    <t>Наблюдения</t>
  </si>
  <si>
    <t>Дисперсионный анализ</t>
  </si>
  <si>
    <t>Регрессия</t>
  </si>
  <si>
    <t>Остаток</t>
  </si>
  <si>
    <t>Итого</t>
  </si>
  <si>
    <t>Y-пересечение</t>
  </si>
  <si>
    <t>df</t>
  </si>
  <si>
    <t>SS</t>
  </si>
  <si>
    <t>MS</t>
  </si>
  <si>
    <t>F</t>
  </si>
  <si>
    <t>Значимость F</t>
  </si>
  <si>
    <t>Коэффициенты</t>
  </si>
  <si>
    <t>t-статистика</t>
  </si>
  <si>
    <t>P-Значение</t>
  </si>
  <si>
    <t>Нижние 95%</t>
  </si>
  <si>
    <t>Верхние 95%</t>
  </si>
  <si>
    <t>Нижние 95,0%</t>
  </si>
  <si>
    <t>Верхние 95,0%</t>
  </si>
  <si>
    <t>Переменная X 1</t>
  </si>
  <si>
    <t>ВЫВОД ОСТАТКА</t>
  </si>
  <si>
    <t>Наблюдение</t>
  </si>
  <si>
    <t>Предсказанное Y</t>
  </si>
  <si>
    <t>Остатки</t>
  </si>
  <si>
    <t>Метод 1</t>
  </si>
  <si>
    <t>Метод 2</t>
  </si>
  <si>
    <t>цель Тестирование гипотез</t>
  </si>
  <si>
    <r>
      <t>t-тест:</t>
    </r>
    <r>
      <rPr>
        <sz val="12"/>
        <color rgb="FFC00000"/>
        <rFont val="Times New Roman"/>
        <family val="1"/>
        <charset val="204"/>
      </rPr>
      <t> </t>
    </r>
  </si>
  <si>
    <t>“Однофакторный дисперсионный анализ”) -OK.</t>
  </si>
  <si>
    <r>
      <t xml:space="preserve">Данные </t>
    </r>
    <r>
      <rPr>
        <sz val="12"/>
        <color rgb="FF0070C0"/>
        <rFont val="Times New Roman"/>
        <family val="1"/>
        <charset val="204"/>
      </rPr>
      <t>-&gt; группа Анализ -&gt;</t>
    </r>
    <r>
      <rPr>
        <b/>
        <sz val="12"/>
        <color rgb="FF0070C0"/>
        <rFont val="Times New Roman"/>
        <family val="1"/>
        <charset val="204"/>
      </rPr>
      <t xml:space="preserve"> Анализ данных -&gt; </t>
    </r>
    <r>
      <rPr>
        <sz val="12"/>
        <color rgb="FF0070C0"/>
        <rFont val="Times New Roman"/>
        <family val="1"/>
        <charset val="204"/>
      </rPr>
      <t>выберите нужный тип теста</t>
    </r>
    <r>
      <rPr>
        <b/>
        <sz val="12"/>
        <color rgb="FF0070C0"/>
        <rFont val="Times New Roman"/>
        <family val="1"/>
        <charset val="204"/>
      </rPr>
      <t xml:space="preserve"> </t>
    </r>
  </si>
  <si>
    <r>
      <t xml:space="preserve">В окне </t>
    </r>
    <r>
      <rPr>
        <sz val="12"/>
        <color rgb="FF0070C0"/>
        <rFont val="Times New Roman"/>
        <family val="1"/>
        <charset val="204"/>
      </rPr>
      <t xml:space="preserve">укажите </t>
    </r>
    <r>
      <rPr>
        <b/>
        <sz val="12"/>
        <color rgb="FF0070C0"/>
        <rFont val="Times New Roman"/>
        <family val="1"/>
        <charset val="204"/>
      </rPr>
      <t>входные диапазоны</t>
    </r>
  </si>
  <si>
    <t>Парный двухвыборочный t-тест для средних</t>
  </si>
  <si>
    <t>Переменная 1</t>
  </si>
  <si>
    <t>Переменная 2</t>
  </si>
  <si>
    <t>Дисперсия</t>
  </si>
  <si>
    <t>Корреляция Пирсона</t>
  </si>
  <si>
    <t>Гипотетическая разность средних</t>
  </si>
  <si>
    <t>P(T&lt;=t) одностороннее</t>
  </si>
  <si>
    <t>t критическое одностороннее</t>
  </si>
  <si>
    <t>P(T&lt;=t) двухстороннее</t>
  </si>
  <si>
    <t>t критическое двухстороннее</t>
  </si>
  <si>
    <t>Сорт 1</t>
  </si>
  <si>
    <t>Сорт 2</t>
  </si>
  <si>
    <t>Сорт 3</t>
  </si>
  <si>
    <t>ANOVA</t>
  </si>
  <si>
    <t>Парный двухвыборочный t-тест для средних-JR</t>
  </si>
  <si>
    <t>параметры теста (альфа= 0.05 или 0.01) и выходной диапазон- OK. </t>
  </si>
  <si>
    <t>Однофакторный дисперсионный анализ</t>
  </si>
  <si>
    <t>ИТОГИ</t>
  </si>
  <si>
    <t>Группы</t>
  </si>
  <si>
    <t>Столбец 1</t>
  </si>
  <si>
    <t>Столбец 2</t>
  </si>
  <si>
    <t>Столбец 3</t>
  </si>
  <si>
    <t>Источник вариации</t>
  </si>
  <si>
    <t>F критическое</t>
  </si>
  <si>
    <t>Между группами</t>
  </si>
  <si>
    <t>Внутри групп</t>
  </si>
  <si>
    <r>
      <t>В окне укажите</t>
    </r>
    <r>
      <rPr>
        <b/>
        <sz val="11"/>
        <color rgb="FF0070C0"/>
        <rFont val="Times New Roman"/>
        <family val="1"/>
        <charset val="204"/>
      </rPr>
      <t xml:space="preserve"> входной интервал-диапазон ячеек с данными ($A$2:$A$6)</t>
    </r>
  </si>
  <si>
    <t>выходной диапазон -место, где нужно разместить результаты ($A$9)</t>
  </si>
  <si>
    <t>выходной диапазон (место, где нужно разместить результаты) ($A$17)</t>
  </si>
  <si>
    <r>
      <t>В окне -входной Y-интервал (</t>
    </r>
    <r>
      <rPr>
        <sz val="12"/>
        <color rgb="FF0070C0"/>
        <rFont val="Times New Roman"/>
        <family val="1"/>
        <charset val="204"/>
      </rPr>
      <t>диапазон ячеек с зависимой переменной)(B2:B5)</t>
    </r>
  </si>
  <si>
    <t>ANOVA: сорт1,2,3</t>
  </si>
  <si>
    <t>t-тест:  метод1,2</t>
  </si>
  <si>
    <t xml:space="preserve">Месяц </t>
  </si>
  <si>
    <t>янв</t>
  </si>
  <si>
    <t>фев</t>
  </si>
  <si>
    <t>март</t>
  </si>
  <si>
    <t>апр</t>
  </si>
  <si>
    <t>сезонность</t>
  </si>
  <si>
    <t>Объем продаж,шт</t>
  </si>
  <si>
    <t>Объем продаж.руб</t>
  </si>
  <si>
    <t>Себестоимость</t>
  </si>
  <si>
    <t>Валовый доход</t>
  </si>
  <si>
    <t>коммерческие расходы</t>
  </si>
  <si>
    <t>реклама</t>
  </si>
  <si>
    <t>накладные расходы</t>
  </si>
  <si>
    <t>валовые затраты</t>
  </si>
  <si>
    <t>прибыль</t>
  </si>
  <si>
    <t>рентабельность</t>
  </si>
  <si>
    <t>цена</t>
  </si>
  <si>
    <t>себестоимость</t>
  </si>
  <si>
    <t>"=35*B3*(B11+3000)^0,5</t>
  </si>
  <si>
    <t>"= 0.15*B6</t>
  </si>
  <si>
    <t>цель : поиск решения</t>
  </si>
  <si>
    <t>максимизировать Прибыль</t>
  </si>
  <si>
    <t>Данные- Поиск решения</t>
  </si>
  <si>
    <t>установить целевую ячейку= прибыль(В15)</t>
  </si>
  <si>
    <t>изменяя ячейки = (B11 :E11)</t>
  </si>
  <si>
    <t>добавить  B11 :E11&gt;=0</t>
  </si>
  <si>
    <t>добавить F11=40000</t>
  </si>
  <si>
    <t>цена рекламы(F11 &lt;40000)</t>
  </si>
  <si>
    <t>"=СУММ(B5:E5)</t>
  </si>
  <si>
    <t>"=СУММ(B12:E12)</t>
  </si>
  <si>
    <t>Ограничения</t>
  </si>
  <si>
    <t>ок</t>
  </si>
  <si>
    <t>выполнить</t>
  </si>
  <si>
    <t>"=B6-B7</t>
  </si>
  <si>
    <t>"=СУММ(B8:E8)</t>
  </si>
  <si>
    <t>решение найдено</t>
  </si>
  <si>
    <t>автоматом заполнится реклама</t>
  </si>
  <si>
    <t>Объем продаж.шт.</t>
  </si>
  <si>
    <t>"=СУММ(B10:B12)</t>
  </si>
  <si>
    <t>"=СУММ(B13:E13)</t>
  </si>
  <si>
    <t>"=B8-B13</t>
  </si>
  <si>
    <t>"=СУММ(B15:E15)</t>
  </si>
  <si>
    <t>"=B6*0,625</t>
  </si>
  <si>
    <t>"=СУММ(B7:E7)</t>
  </si>
  <si>
    <t>оптимизация рекламного бюджета</t>
  </si>
  <si>
    <t>ТВ-реклама</t>
  </si>
  <si>
    <t>Интернет-реклама</t>
  </si>
  <si>
    <t>Реклама в печати</t>
  </si>
  <si>
    <t>Стоимость (руб/ед.)</t>
  </si>
  <si>
    <t>цель поиск решения пример2</t>
  </si>
  <si>
    <t>Эффек-ть (об. продаж /ед. рекл.)</t>
  </si>
  <si>
    <t>общ.обьем</t>
  </si>
  <si>
    <t>Общее</t>
  </si>
  <si>
    <t>макс. Кол-во</t>
  </si>
  <si>
    <t>ко-во ед.</t>
  </si>
  <si>
    <t>общая стоимость</t>
  </si>
  <si>
    <t>Мы хотим распределить 15000 рублей рекламного бюджета между тремя каналами 
(ТВ, Интернет, Печать), чтобы получить как можно больше продаж, при этом учитывая, что на каждый канал есть 
ограничения по количеству единиц рекламы.</t>
  </si>
  <si>
    <r>
      <t>Общий объем продаж (E7): </t>
    </r>
    <r>
      <rPr>
        <sz val="10"/>
        <color rgb="FF0070C0"/>
        <rFont val="Times New Roman"/>
        <family val="1"/>
        <charset val="204"/>
      </rPr>
      <t>=B4*B6+C4*C6+D4*D6</t>
    </r>
  </si>
  <si>
    <t>Общая стоимость (E8): =B3*B6 + C3*C6 + D3*D6</t>
  </si>
  <si>
    <t>создаем таблицу где прописываем стоимость каждой рекламы</t>
  </si>
  <si>
    <t>кол-во  ед.-строка 6 (B6,C6,D6)проставляем нулями</t>
  </si>
  <si>
    <t>строим таблицу</t>
  </si>
  <si>
    <t>поиск решения</t>
  </si>
  <si>
    <t>Данные- поиск решения</t>
  </si>
  <si>
    <t>Оптимизировать  целевую  функцию  = E7</t>
  </si>
  <si>
    <t>точка максимум</t>
  </si>
  <si>
    <t>Изменяя ячейки переменных  = B6;C6;D6</t>
  </si>
  <si>
    <t>B6:D6 &gt;= 0</t>
  </si>
  <si>
    <t>D6 &lt;= D4</t>
  </si>
  <si>
    <t>C6 &lt;= C4</t>
  </si>
  <si>
    <t>B6 &lt;= B4</t>
  </si>
  <si>
    <t>В соотвествии с ограничениями-Добавить</t>
  </si>
  <si>
    <t>E8 &lt;= 15000</t>
  </si>
  <si>
    <t>найти решение</t>
  </si>
  <si>
    <t>найдет - Ок (может не найти в других случаях)</t>
  </si>
  <si>
    <t>"=B15/B6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</si>
</sst>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_₽"/>
  </numFmts>
  <fonts count="27" x14ac:knownFonts="1">
    <font>
      <sz val="11"/>
      <color theme="1"/>
      <name val="Calibri"/>
      <family val="2"/>
      <charset val="204"/>
      <scheme val="minor"/>
    </font>
    <font>
      <b/>
      <sz val="11"/>
      <color theme="1"/>
      <name val="Calibri"/>
      <family val="2"/>
      <charset val="204"/>
      <scheme val="minor"/>
    </font>
    <font>
      <b/>
      <sz val="12"/>
      <color rgb="FFC00000"/>
      <name val="Times New Roman"/>
      <family val="1"/>
      <charset val="204"/>
    </font>
    <font>
      <sz val="12"/>
      <color rgb="FF212529"/>
      <name val="Times New Roman"/>
      <family val="1"/>
      <charset val="204"/>
    </font>
    <font>
      <b/>
      <sz val="12"/>
      <color rgb="FF0070C0"/>
      <name val="Times New Roman"/>
      <family val="1"/>
      <charset val="204"/>
    </font>
    <font>
      <sz val="12"/>
      <color rgb="FF0070C0"/>
      <name val="Times New Roman"/>
      <family val="1"/>
      <charset val="204"/>
    </font>
    <font>
      <i/>
      <sz val="11"/>
      <color theme="1"/>
      <name val="Calibri"/>
      <family val="2"/>
      <charset val="204"/>
      <scheme val="minor"/>
    </font>
    <font>
      <sz val="12"/>
      <color rgb="FFC00000"/>
      <name val="Times New Roman"/>
      <family val="1"/>
      <charset val="204"/>
    </font>
    <font>
      <sz val="11"/>
      <color rgb="FF0070C0"/>
      <name val="Calibri"/>
      <family val="2"/>
      <charset val="204"/>
      <scheme val="minor"/>
    </font>
    <font>
      <sz val="11"/>
      <color rgb="FF0070C0"/>
      <name val="Times New Roman"/>
      <family val="1"/>
      <charset val="204"/>
    </font>
    <font>
      <b/>
      <sz val="11"/>
      <color rgb="FF0070C0"/>
      <name val="Times New Roman"/>
      <family val="1"/>
      <charset val="204"/>
    </font>
    <font>
      <b/>
      <sz val="11"/>
      <color rgb="FF0070C0"/>
      <name val="Calibri"/>
      <family val="2"/>
      <charset val="204"/>
      <scheme val="minor"/>
    </font>
    <font>
      <i/>
      <sz val="10"/>
      <color theme="1"/>
      <name val="Times New Roman"/>
      <family val="1"/>
      <charset val="204"/>
    </font>
    <font>
      <sz val="10"/>
      <color theme="1"/>
      <name val="Times New Roman"/>
      <family val="1"/>
      <charset val="204"/>
    </font>
    <font>
      <i/>
      <sz val="8"/>
      <color theme="1"/>
      <name val="Times New Roman"/>
      <family val="1"/>
      <charset val="204"/>
    </font>
    <font>
      <b/>
      <sz val="16"/>
      <color theme="1"/>
      <name val="Arial Black"/>
      <family val="2"/>
      <charset val="204"/>
    </font>
    <font>
      <sz val="11"/>
      <color rgb="FFFF0000"/>
      <name val="Calibri"/>
      <family val="2"/>
      <charset val="204"/>
      <scheme val="minor"/>
    </font>
    <font>
      <b/>
      <sz val="14"/>
      <color theme="1"/>
      <name val="Arial Black"/>
      <family val="2"/>
      <charset val="204"/>
    </font>
    <font>
      <sz val="11"/>
      <color rgb="FFC00000"/>
      <name val="Calibri"/>
      <family val="2"/>
      <charset val="204"/>
      <scheme val="minor"/>
    </font>
    <font>
      <sz val="11"/>
      <color theme="5" tint="-0.249977111117893"/>
      <name val="Calibri"/>
      <family val="2"/>
      <charset val="204"/>
      <scheme val="minor"/>
    </font>
    <font>
      <sz val="11"/>
      <color rgb="FF212529"/>
      <name val="Times New Roman"/>
      <family val="1"/>
      <charset val="204"/>
    </font>
    <font>
      <sz val="10"/>
      <color rgb="FF212529"/>
      <name val="Times New Roman"/>
      <family val="1"/>
      <charset val="204"/>
    </font>
    <font>
      <sz val="14"/>
      <color theme="1"/>
      <name val="Arial Black"/>
      <family val="2"/>
      <charset val="204"/>
    </font>
    <font>
      <b/>
      <sz val="11"/>
      <color rgb="FFC00000"/>
      <name val="Times New Roman"/>
      <family val="1"/>
      <charset val="204"/>
    </font>
    <font>
      <sz val="10"/>
      <color rgb="FF0070C0"/>
      <name val="Times New Roman"/>
      <family val="1"/>
      <charset val="204"/>
    </font>
    <font>
      <b/>
      <sz val="11"/>
      <color rgb="FFC00000"/>
      <name val="Calibri"/>
      <family val="2"/>
      <charset val="204"/>
      <scheme val="minor"/>
    </font>
    <font>
      <b/>
      <sz val="11"/>
      <color rgb="FFC00000"/>
      <name val="Bahnschrift SemiBold"/>
      <family val="2"/>
      <charset val="204"/>
    </font>
  </fonts>
  <fills count="7">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6F8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1">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1" xfId="0" applyBorder="1"/>
    <xf numFmtId="0" fontId="0" fillId="0" borderId="2" xfId="0" applyBorder="1"/>
    <xf numFmtId="0" fontId="6" fillId="0" borderId="3" xfId="0" applyFont="1" applyBorder="1" applyAlignment="1">
      <alignment horizontal="center"/>
    </xf>
    <xf numFmtId="0" fontId="6" fillId="0" borderId="3" xfId="0" applyFont="1" applyBorder="1" applyAlignment="1">
      <alignment horizontal="centerContinuous"/>
    </xf>
    <xf numFmtId="0" fontId="3" fillId="0" borderId="0" xfId="0" applyFont="1" applyAlignment="1">
      <alignment horizontal="left" vertical="top"/>
    </xf>
    <xf numFmtId="0" fontId="4" fillId="0" borderId="0" xfId="0" applyFont="1" applyAlignment="1">
      <alignment horizontal="left" vertical="top"/>
    </xf>
    <xf numFmtId="0" fontId="8" fillId="0" borderId="0" xfId="0" applyFont="1"/>
    <xf numFmtId="0" fontId="9" fillId="0" borderId="0" xfId="0" applyFont="1"/>
    <xf numFmtId="0" fontId="10"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vertical="center" indent="1"/>
    </xf>
    <xf numFmtId="0" fontId="9" fillId="0" borderId="0" xfId="0" applyFont="1" applyAlignment="1">
      <alignment horizontal="left" vertical="center" indent="1"/>
    </xf>
    <xf numFmtId="0" fontId="1" fillId="0" borderId="1" xfId="0" applyFont="1" applyBorder="1"/>
    <xf numFmtId="0" fontId="0" fillId="0" borderId="1" xfId="0" applyBorder="1" applyAlignment="1">
      <alignment horizontal="left" vertical="top"/>
    </xf>
    <xf numFmtId="0" fontId="1" fillId="0" borderId="1" xfId="0" applyFont="1" applyBorder="1" applyAlignment="1">
      <alignment horizontal="left" vertical="top" wrapText="1"/>
    </xf>
    <xf numFmtId="0" fontId="4" fillId="0" borderId="0" xfId="0" applyFont="1" applyAlignment="1">
      <alignment horizontal="left"/>
    </xf>
    <xf numFmtId="0" fontId="12" fillId="0" borderId="3" xfId="0" applyFont="1" applyBorder="1" applyAlignment="1">
      <alignment horizontal="centerContinuous"/>
    </xf>
    <xf numFmtId="0" fontId="13" fillId="0" borderId="0" xfId="0" applyFont="1"/>
    <xf numFmtId="0" fontId="13" fillId="0" borderId="2" xfId="0" applyFont="1" applyBorder="1"/>
    <xf numFmtId="0" fontId="12" fillId="0" borderId="3" xfId="0" applyFont="1" applyBorder="1" applyAlignment="1">
      <alignment horizontal="center"/>
    </xf>
    <xf numFmtId="0" fontId="14" fillId="0" borderId="3" xfId="0" applyFont="1" applyBorder="1" applyAlignment="1">
      <alignment horizontal="center"/>
    </xf>
    <xf numFmtId="0" fontId="15" fillId="0" borderId="0" xfId="0" applyFont="1"/>
    <xf numFmtId="0" fontId="2" fillId="0" borderId="0" xfId="0" applyFont="1"/>
    <xf numFmtId="9" fontId="0" fillId="0" borderId="1" xfId="0" applyNumberFormat="1" applyBorder="1"/>
    <xf numFmtId="0" fontId="16" fillId="0" borderId="1" xfId="0" applyFont="1" applyBorder="1"/>
    <xf numFmtId="0" fontId="8" fillId="0" borderId="1" xfId="0" applyFont="1" applyBorder="1"/>
    <xf numFmtId="164" fontId="0" fillId="0" borderId="1" xfId="0" applyNumberFormat="1" applyBorder="1"/>
    <xf numFmtId="0" fontId="0" fillId="3" borderId="1" xfId="0" applyFill="1" applyBorder="1"/>
    <xf numFmtId="0" fontId="17" fillId="0" borderId="0" xfId="0" applyFont="1"/>
    <xf numFmtId="0" fontId="0" fillId="4" borderId="1" xfId="0" applyFill="1" applyBorder="1"/>
    <xf numFmtId="164" fontId="0" fillId="0" borderId="0" xfId="0" applyNumberFormat="1"/>
    <xf numFmtId="0" fontId="0" fillId="0" borderId="0" xfId="0" applyBorder="1"/>
    <xf numFmtId="164" fontId="0" fillId="2" borderId="1" xfId="0" applyNumberFormat="1" applyFill="1" applyBorder="1"/>
    <xf numFmtId="0" fontId="18" fillId="2" borderId="1" xfId="0" applyFont="1" applyFill="1" applyBorder="1"/>
    <xf numFmtId="0" fontId="19" fillId="0" borderId="1" xfId="0" applyFont="1" applyBorder="1"/>
    <xf numFmtId="0" fontId="23" fillId="0" borderId="0" xfId="0" applyFont="1"/>
    <xf numFmtId="0" fontId="21" fillId="5" borderId="1" xfId="0" applyFont="1" applyFill="1" applyBorder="1" applyAlignment="1">
      <alignment vertical="top" wrapText="1"/>
    </xf>
    <xf numFmtId="0" fontId="20" fillId="5" borderId="1" xfId="0" applyFont="1" applyFill="1" applyBorder="1" applyAlignment="1">
      <alignment vertical="top" wrapText="1"/>
    </xf>
    <xf numFmtId="0" fontId="20" fillId="6" borderId="1" xfId="0" applyFont="1" applyFill="1" applyBorder="1" applyAlignment="1">
      <alignment vertical="top" wrapText="1"/>
    </xf>
    <xf numFmtId="0" fontId="0" fillId="0" borderId="0" xfId="0" applyAlignment="1">
      <alignment horizontal="centerContinuous" vertical="top" wrapText="1"/>
    </xf>
    <xf numFmtId="0" fontId="0" fillId="0" borderId="0" xfId="0" applyAlignment="1">
      <alignment horizontal="centerContinuous" vertical="top"/>
    </xf>
    <xf numFmtId="0" fontId="22" fillId="0" borderId="0" xfId="0" applyFont="1" applyAlignment="1">
      <alignment horizontal="left" vertical="top"/>
    </xf>
    <xf numFmtId="0" fontId="5" fillId="0" borderId="0" xfId="0" applyFont="1"/>
    <xf numFmtId="0" fontId="26" fillId="4" borderId="0" xfId="0" applyFont="1" applyFill="1"/>
    <xf numFmtId="0" fontId="26" fillId="4" borderId="1" xfId="0" applyFont="1" applyFill="1" applyBorder="1"/>
    <xf numFmtId="0" fontId="18" fillId="3" borderId="1" xfId="0" applyFont="1" applyFill="1" applyBorder="1"/>
    <xf numFmtId="0" fontId="25"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57150</xdr:rowOff>
    </xdr:from>
    <xdr:to>
      <xdr:col>1</xdr:col>
      <xdr:colOff>1095375</xdr:colOff>
      <xdr:row>40</xdr:row>
      <xdr:rowOff>171450</xdr:rowOff>
    </xdr:to>
    <xdr:pic>
      <xdr:nvPicPr>
        <xdr:cNvPr id="2" name="Рисунок 1">
          <a:extLst>
            <a:ext uri="{FF2B5EF4-FFF2-40B4-BE49-F238E27FC236}">
              <a16:creationId xmlns:a16="http://schemas.microsoft.com/office/drawing/2014/main" id="{77BEA5AE-C3FC-B532-1AC7-DB8771E0A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10275"/>
          <a:ext cx="3000375"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1162050</xdr:colOff>
      <xdr:row>31</xdr:row>
      <xdr:rowOff>123825</xdr:rowOff>
    </xdr:from>
    <xdr:to>
      <xdr:col>5</xdr:col>
      <xdr:colOff>66675</xdr:colOff>
      <xdr:row>38</xdr:row>
      <xdr:rowOff>123825</xdr:rowOff>
    </xdr:to>
    <xdr:pic>
      <xdr:nvPicPr>
        <xdr:cNvPr id="3" name="Рисунок 2">
          <a:extLst>
            <a:ext uri="{FF2B5EF4-FFF2-40B4-BE49-F238E27FC236}">
              <a16:creationId xmlns:a16="http://schemas.microsoft.com/office/drawing/2014/main" id="{23B02A3C-CF79-3790-90AC-9C057CF62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0450" y="6067425"/>
          <a:ext cx="138112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36</xdr:row>
      <xdr:rowOff>19050</xdr:rowOff>
    </xdr:from>
    <xdr:to>
      <xdr:col>2</xdr:col>
      <xdr:colOff>990600</xdr:colOff>
      <xdr:row>50</xdr:row>
      <xdr:rowOff>9525</xdr:rowOff>
    </xdr:to>
    <xdr:pic>
      <xdr:nvPicPr>
        <xdr:cNvPr id="2" name="Рисунок 1">
          <a:extLst>
            <a:ext uri="{FF2B5EF4-FFF2-40B4-BE49-F238E27FC236}">
              <a16:creationId xmlns:a16="http://schemas.microsoft.com/office/drawing/2014/main" id="{C302C0F7-309B-06E4-BC4F-2A317D3BAE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105650"/>
          <a:ext cx="3952875"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590550</xdr:colOff>
      <xdr:row>35</xdr:row>
      <xdr:rowOff>161925</xdr:rowOff>
    </xdr:from>
    <xdr:to>
      <xdr:col>10</xdr:col>
      <xdr:colOff>457200</xdr:colOff>
      <xdr:row>49</xdr:row>
      <xdr:rowOff>38100</xdr:rowOff>
    </xdr:to>
    <xdr:pic>
      <xdr:nvPicPr>
        <xdr:cNvPr id="3" name="Рисунок 2">
          <a:extLst>
            <a:ext uri="{FF2B5EF4-FFF2-40B4-BE49-F238E27FC236}">
              <a16:creationId xmlns:a16="http://schemas.microsoft.com/office/drawing/2014/main" id="{10509B45-371D-719E-E25F-114506834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7058025"/>
          <a:ext cx="367665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31</xdr:row>
      <xdr:rowOff>95250</xdr:rowOff>
    </xdr:from>
    <xdr:to>
      <xdr:col>2</xdr:col>
      <xdr:colOff>695325</xdr:colOff>
      <xdr:row>41</xdr:row>
      <xdr:rowOff>19050</xdr:rowOff>
    </xdr:to>
    <xdr:pic>
      <xdr:nvPicPr>
        <xdr:cNvPr id="2" name="Рисунок 1">
          <a:extLst>
            <a:ext uri="{FF2B5EF4-FFF2-40B4-BE49-F238E27FC236}">
              <a16:creationId xmlns:a16="http://schemas.microsoft.com/office/drawing/2014/main" id="{D260454E-9AF5-4D0A-9EB0-D54EE42FB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38850"/>
          <a:ext cx="29337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1162050</xdr:colOff>
      <xdr:row>31</xdr:row>
      <xdr:rowOff>123825</xdr:rowOff>
    </xdr:from>
    <xdr:to>
      <xdr:col>5</xdr:col>
      <xdr:colOff>66675</xdr:colOff>
      <xdr:row>38</xdr:row>
      <xdr:rowOff>123825</xdr:rowOff>
    </xdr:to>
    <xdr:pic>
      <xdr:nvPicPr>
        <xdr:cNvPr id="3" name="Рисунок 2">
          <a:extLst>
            <a:ext uri="{FF2B5EF4-FFF2-40B4-BE49-F238E27FC236}">
              <a16:creationId xmlns:a16="http://schemas.microsoft.com/office/drawing/2014/main" id="{42D695AE-05F0-4804-84D2-7F3F0A8ED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05175" y="6067425"/>
          <a:ext cx="128587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36</xdr:row>
      <xdr:rowOff>19050</xdr:rowOff>
    </xdr:from>
    <xdr:to>
      <xdr:col>2</xdr:col>
      <xdr:colOff>990600</xdr:colOff>
      <xdr:row>50</xdr:row>
      <xdr:rowOff>9525</xdr:rowOff>
    </xdr:to>
    <xdr:pic>
      <xdr:nvPicPr>
        <xdr:cNvPr id="2" name="Рисунок 1">
          <a:extLst>
            <a:ext uri="{FF2B5EF4-FFF2-40B4-BE49-F238E27FC236}">
              <a16:creationId xmlns:a16="http://schemas.microsoft.com/office/drawing/2014/main" id="{909E0E14-2E94-47BC-8784-D6AFCA064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105650"/>
          <a:ext cx="3952875"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590550</xdr:colOff>
      <xdr:row>35</xdr:row>
      <xdr:rowOff>161925</xdr:rowOff>
    </xdr:from>
    <xdr:to>
      <xdr:col>10</xdr:col>
      <xdr:colOff>457200</xdr:colOff>
      <xdr:row>49</xdr:row>
      <xdr:rowOff>38100</xdr:rowOff>
    </xdr:to>
    <xdr:pic>
      <xdr:nvPicPr>
        <xdr:cNvPr id="3" name="Рисунок 2">
          <a:extLst>
            <a:ext uri="{FF2B5EF4-FFF2-40B4-BE49-F238E27FC236}">
              <a16:creationId xmlns:a16="http://schemas.microsoft.com/office/drawing/2014/main" id="{858D8275-D187-4CD9-9A85-33020A70E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7058025"/>
          <a:ext cx="367665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504825</xdr:colOff>
      <xdr:row>20</xdr:row>
      <xdr:rowOff>180975</xdr:rowOff>
    </xdr:from>
    <xdr:to>
      <xdr:col>14</xdr:col>
      <xdr:colOff>28575</xdr:colOff>
      <xdr:row>39</xdr:row>
      <xdr:rowOff>161925</xdr:rowOff>
    </xdr:to>
    <xdr:pic>
      <xdr:nvPicPr>
        <xdr:cNvPr id="3" name="Рисунок 2">
          <a:extLst>
            <a:ext uri="{FF2B5EF4-FFF2-40B4-BE49-F238E27FC236}">
              <a16:creationId xmlns:a16="http://schemas.microsoft.com/office/drawing/2014/main" id="{CB1A8E08-3768-4BCA-A708-C69FA124E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24525" y="5133975"/>
          <a:ext cx="5438775"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190500</xdr:colOff>
      <xdr:row>21</xdr:row>
      <xdr:rowOff>28575</xdr:rowOff>
    </xdr:from>
    <xdr:to>
      <xdr:col>5</xdr:col>
      <xdr:colOff>219075</xdr:colOff>
      <xdr:row>50</xdr:row>
      <xdr:rowOff>66675</xdr:rowOff>
    </xdr:to>
    <xdr:pic>
      <xdr:nvPicPr>
        <xdr:cNvPr id="4" name="Рисунок 3">
          <a:extLst>
            <a:ext uri="{FF2B5EF4-FFF2-40B4-BE49-F238E27FC236}">
              <a16:creationId xmlns:a16="http://schemas.microsoft.com/office/drawing/2014/main" id="{35C10335-72BF-5556-DCE9-632376F9F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0" y="5172075"/>
          <a:ext cx="5248275" cy="556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34</xdr:row>
      <xdr:rowOff>95250</xdr:rowOff>
    </xdr:from>
    <xdr:to>
      <xdr:col>7</xdr:col>
      <xdr:colOff>47625</xdr:colOff>
      <xdr:row>64</xdr:row>
      <xdr:rowOff>0</xdr:rowOff>
    </xdr:to>
    <xdr:pic>
      <xdr:nvPicPr>
        <xdr:cNvPr id="2" name="Рисунок 1">
          <a:extLst>
            <a:ext uri="{FF2B5EF4-FFF2-40B4-BE49-F238E27FC236}">
              <a16:creationId xmlns:a16="http://schemas.microsoft.com/office/drawing/2014/main" id="{1A27453C-22AB-C867-C235-92216D5D5B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667500"/>
          <a:ext cx="5400675" cy="561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1D9690-81EA-4603-87FF-60E80856B2FA}">
  <we:reference id="wa104379190" version="2.0.0.0" store="ru-RU" storeType="OMEX"/>
  <we:alternateReferences>
    <we:reference id="wa104379190" version="2.0.0.0" store="WA104379190" storeType="OMEX"/>
  </we:alternateReferences>
  <we:properties/>
  <we:bindings>
    <we:binding id="RangeSelect" type="matrix" appref="{BB554803-4C25-4225-920E-22AE45C8C203}"/>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4560-F775-49D7-9B65-732B8D3E799B}">
  <dimension ref="A1:E16"/>
  <sheetViews>
    <sheetView workbookViewId="0">
      <selection activeCell="I29" sqref="I29"/>
    </sheetView>
  </sheetViews>
  <sheetFormatPr defaultRowHeight="15" x14ac:dyDescent="0.25"/>
  <cols>
    <col min="1" max="1" width="28.5703125" customWidth="1"/>
    <col min="2" max="2" width="24.42578125" customWidth="1"/>
    <col min="3" max="3" width="16" customWidth="1"/>
  </cols>
  <sheetData>
    <row r="1" spans="1:5" ht="15.75" x14ac:dyDescent="0.25">
      <c r="A1" s="16" t="s">
        <v>3</v>
      </c>
      <c r="B1" s="7"/>
      <c r="C1" s="7"/>
      <c r="E1" s="1" t="s">
        <v>0</v>
      </c>
    </row>
    <row r="2" spans="1:5" x14ac:dyDescent="0.25">
      <c r="A2" s="4">
        <v>50000</v>
      </c>
      <c r="E2" s="2"/>
    </row>
    <row r="3" spans="1:5" x14ac:dyDescent="0.25">
      <c r="A3" s="4">
        <v>60000</v>
      </c>
      <c r="D3">
        <v>1</v>
      </c>
      <c r="E3" s="14" t="s">
        <v>1</v>
      </c>
    </row>
    <row r="4" spans="1:5" x14ac:dyDescent="0.25">
      <c r="A4" s="4">
        <v>70000</v>
      </c>
      <c r="D4">
        <v>2</v>
      </c>
      <c r="E4" s="15" t="s">
        <v>23</v>
      </c>
    </row>
    <row r="5" spans="1:5" x14ac:dyDescent="0.25">
      <c r="A5" s="4">
        <v>80000</v>
      </c>
      <c r="D5">
        <v>3</v>
      </c>
      <c r="E5" s="15" t="s">
        <v>24</v>
      </c>
    </row>
    <row r="6" spans="1:5" x14ac:dyDescent="0.25">
      <c r="A6" s="4">
        <v>90000</v>
      </c>
      <c r="D6">
        <v>4</v>
      </c>
      <c r="E6" s="15" t="s">
        <v>25</v>
      </c>
    </row>
    <row r="7" spans="1:5" ht="15.75" x14ac:dyDescent="0.25">
      <c r="E7" s="3" t="s">
        <v>2</v>
      </c>
    </row>
    <row r="10" spans="1:5" ht="15.75" x14ac:dyDescent="0.25">
      <c r="E10" s="1" t="s">
        <v>18</v>
      </c>
    </row>
    <row r="11" spans="1:5" x14ac:dyDescent="0.25">
      <c r="E11" s="2"/>
    </row>
    <row r="12" spans="1:5" x14ac:dyDescent="0.25">
      <c r="D12">
        <v>1</v>
      </c>
      <c r="E12" s="12" t="s">
        <v>20</v>
      </c>
    </row>
    <row r="13" spans="1:5" x14ac:dyDescent="0.25">
      <c r="D13">
        <v>2</v>
      </c>
      <c r="E13" s="11" t="s">
        <v>19</v>
      </c>
    </row>
    <row r="14" spans="1:5" x14ac:dyDescent="0.25">
      <c r="D14">
        <v>3</v>
      </c>
      <c r="E14" s="13" t="s">
        <v>99</v>
      </c>
    </row>
    <row r="15" spans="1:5" x14ac:dyDescent="0.25">
      <c r="D15">
        <v>4</v>
      </c>
      <c r="E15" s="11" t="s">
        <v>100</v>
      </c>
    </row>
    <row r="16" spans="1:5" x14ac:dyDescent="0.25">
      <c r="D16">
        <v>5</v>
      </c>
      <c r="E16" s="11" t="s">
        <v>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E766-3901-4E7C-8362-920FF1A40B5B}">
  <dimension ref="A1:J40"/>
  <sheetViews>
    <sheetView zoomScale="85" zoomScaleNormal="85" workbookViewId="0">
      <selection activeCell="E23" sqref="E23:J39"/>
    </sheetView>
  </sheetViews>
  <sheetFormatPr defaultRowHeight="15" x14ac:dyDescent="0.25"/>
  <cols>
    <col min="1" max="1" width="23.5703125" customWidth="1"/>
    <col min="2" max="2" width="11.28515625" customWidth="1"/>
    <col min="3" max="6" width="13.42578125" customWidth="1"/>
    <col min="7" max="9" width="9.28515625" bestFit="1" customWidth="1"/>
  </cols>
  <sheetData>
    <row r="1" spans="1:10" ht="43.5" customHeight="1" x14ac:dyDescent="0.25">
      <c r="A1" s="18" t="s">
        <v>27</v>
      </c>
      <c r="B1" s="18" t="s">
        <v>28</v>
      </c>
    </row>
    <row r="2" spans="1:10" ht="15.75" x14ac:dyDescent="0.25">
      <c r="A2" s="17">
        <v>1000</v>
      </c>
      <c r="B2" s="17">
        <v>10000</v>
      </c>
      <c r="G2" s="1" t="s">
        <v>29</v>
      </c>
    </row>
    <row r="3" spans="1:10" x14ac:dyDescent="0.25">
      <c r="A3" s="17">
        <v>2000</v>
      </c>
      <c r="B3" s="17">
        <v>15000</v>
      </c>
      <c r="G3" s="2"/>
    </row>
    <row r="4" spans="1:10" ht="15.75" x14ac:dyDescent="0.25">
      <c r="A4" s="17">
        <v>3000</v>
      </c>
      <c r="B4" s="17">
        <v>20000</v>
      </c>
      <c r="F4">
        <v>1</v>
      </c>
      <c r="G4" s="9" t="s">
        <v>33</v>
      </c>
    </row>
    <row r="5" spans="1:10" x14ac:dyDescent="0.25">
      <c r="A5" s="17">
        <v>4000</v>
      </c>
      <c r="B5" s="17">
        <v>25000</v>
      </c>
      <c r="F5">
        <v>2</v>
      </c>
      <c r="G5" s="10" t="s">
        <v>34</v>
      </c>
    </row>
    <row r="6" spans="1:10" ht="15.75" x14ac:dyDescent="0.25">
      <c r="A6" s="17">
        <v>5000</v>
      </c>
      <c r="B6" s="17">
        <v>30000</v>
      </c>
      <c r="F6">
        <v>3</v>
      </c>
      <c r="G6" s="19" t="s">
        <v>102</v>
      </c>
    </row>
    <row r="7" spans="1:10" x14ac:dyDescent="0.25">
      <c r="F7">
        <v>4</v>
      </c>
      <c r="G7" s="10" t="s">
        <v>30</v>
      </c>
    </row>
    <row r="8" spans="1:10" x14ac:dyDescent="0.25">
      <c r="F8">
        <v>5</v>
      </c>
      <c r="G8" s="10" t="s">
        <v>101</v>
      </c>
    </row>
    <row r="9" spans="1:10" x14ac:dyDescent="0.25">
      <c r="F9">
        <v>6</v>
      </c>
      <c r="G9" s="10" t="s">
        <v>32</v>
      </c>
    </row>
    <row r="11" spans="1:10" ht="15.75" x14ac:dyDescent="0.25">
      <c r="G11" s="8" t="s">
        <v>37</v>
      </c>
    </row>
    <row r="12" spans="1:10" x14ac:dyDescent="0.25">
      <c r="G12" t="s">
        <v>36</v>
      </c>
    </row>
    <row r="16" spans="1:10" x14ac:dyDescent="0.25">
      <c r="H16" s="21"/>
      <c r="I16" s="21"/>
      <c r="J16" s="21"/>
    </row>
    <row r="17" spans="10:10" x14ac:dyDescent="0.25">
      <c r="J17" s="21"/>
    </row>
    <row r="18" spans="10:10" x14ac:dyDescent="0.25">
      <c r="J18" s="21"/>
    </row>
    <row r="19" spans="10:10" x14ac:dyDescent="0.25">
      <c r="J19" s="21"/>
    </row>
    <row r="20" spans="10:10" x14ac:dyDescent="0.25">
      <c r="J20" s="21"/>
    </row>
    <row r="21" spans="10:10" x14ac:dyDescent="0.25">
      <c r="J21" s="21"/>
    </row>
    <row r="22" spans="10:10" x14ac:dyDescent="0.25">
      <c r="J22" s="21"/>
    </row>
    <row r="40" spans="10:10" x14ac:dyDescent="0.25">
      <c r="J4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68AE-FA7E-41CC-98F8-FC49DBF4A7B0}">
  <dimension ref="A1:J15"/>
  <sheetViews>
    <sheetView topLeftCell="A6" workbookViewId="0">
      <selection activeCell="E16" sqref="A16:E35"/>
    </sheetView>
  </sheetViews>
  <sheetFormatPr defaultRowHeight="15" x14ac:dyDescent="0.25"/>
  <cols>
    <col min="1" max="1" width="34.140625" customWidth="1"/>
    <col min="2" max="2" width="13.7109375" customWidth="1"/>
    <col min="3" max="3" width="15.140625" customWidth="1"/>
    <col min="7" max="7" width="20.5703125" customWidth="1"/>
    <col min="11" max="11" width="12.5703125" customWidth="1"/>
    <col min="12" max="12" width="12.42578125" customWidth="1"/>
    <col min="13" max="13" width="16.140625" customWidth="1"/>
  </cols>
  <sheetData>
    <row r="1" spans="1:10" ht="24.75" x14ac:dyDescent="0.5">
      <c r="A1" s="16" t="s">
        <v>66</v>
      </c>
      <c r="B1" s="16" t="s">
        <v>67</v>
      </c>
      <c r="D1" s="4" t="s">
        <v>83</v>
      </c>
      <c r="E1" s="4" t="s">
        <v>84</v>
      </c>
      <c r="F1" s="4" t="s">
        <v>85</v>
      </c>
      <c r="J1" s="25" t="s">
        <v>68</v>
      </c>
    </row>
    <row r="2" spans="1:10" x14ac:dyDescent="0.25">
      <c r="A2" s="4">
        <v>80</v>
      </c>
      <c r="B2" s="4">
        <v>75</v>
      </c>
      <c r="D2" s="4">
        <v>40</v>
      </c>
      <c r="E2" s="4">
        <v>45</v>
      </c>
      <c r="F2" s="4">
        <v>50</v>
      </c>
    </row>
    <row r="3" spans="1:10" ht="15.75" x14ac:dyDescent="0.25">
      <c r="A3" s="4">
        <v>85</v>
      </c>
      <c r="B3" s="4">
        <v>80</v>
      </c>
      <c r="D3" s="4">
        <v>45</v>
      </c>
      <c r="E3" s="4">
        <v>50</v>
      </c>
      <c r="F3" s="4">
        <v>55</v>
      </c>
      <c r="I3" s="26" t="s">
        <v>104</v>
      </c>
    </row>
    <row r="4" spans="1:10" ht="15.75" x14ac:dyDescent="0.25">
      <c r="A4" s="4">
        <v>90</v>
      </c>
      <c r="B4" s="4">
        <v>85</v>
      </c>
      <c r="D4" s="4">
        <v>50</v>
      </c>
      <c r="E4" s="4">
        <v>55</v>
      </c>
      <c r="F4" s="4">
        <v>60</v>
      </c>
      <c r="H4">
        <v>1</v>
      </c>
      <c r="I4" s="9" t="s">
        <v>71</v>
      </c>
    </row>
    <row r="5" spans="1:10" x14ac:dyDescent="0.25">
      <c r="A5" s="4">
        <v>75</v>
      </c>
      <c r="B5" s="4">
        <v>70</v>
      </c>
      <c r="D5" s="4">
        <v>55</v>
      </c>
      <c r="E5" s="4">
        <v>60</v>
      </c>
      <c r="F5" s="4">
        <v>65</v>
      </c>
      <c r="H5">
        <v>2</v>
      </c>
      <c r="I5" s="11" t="s">
        <v>87</v>
      </c>
    </row>
    <row r="6" spans="1:10" ht="15.75" x14ac:dyDescent="0.25">
      <c r="A6" s="4">
        <v>80</v>
      </c>
      <c r="B6" s="4">
        <v>75</v>
      </c>
      <c r="H6">
        <v>4</v>
      </c>
      <c r="I6" s="19" t="s">
        <v>72</v>
      </c>
    </row>
    <row r="7" spans="1:10" x14ac:dyDescent="0.25">
      <c r="H7">
        <v>5</v>
      </c>
      <c r="I7" s="11" t="s">
        <v>88</v>
      </c>
    </row>
    <row r="11" spans="1:10" ht="15.75" x14ac:dyDescent="0.25">
      <c r="I11" s="26" t="s">
        <v>103</v>
      </c>
    </row>
    <row r="12" spans="1:10" ht="15.75" x14ac:dyDescent="0.25">
      <c r="H12">
        <v>1</v>
      </c>
      <c r="I12" s="9" t="s">
        <v>71</v>
      </c>
    </row>
    <row r="13" spans="1:10" x14ac:dyDescent="0.25">
      <c r="H13">
        <v>2</v>
      </c>
      <c r="I13" s="11" t="s">
        <v>70</v>
      </c>
    </row>
    <row r="14" spans="1:10" ht="15.75" x14ac:dyDescent="0.25">
      <c r="H14">
        <v>3</v>
      </c>
      <c r="I14" s="19" t="s">
        <v>72</v>
      </c>
    </row>
    <row r="15" spans="1:10" x14ac:dyDescent="0.25">
      <c r="H15">
        <v>4</v>
      </c>
      <c r="I15" s="11" t="s">
        <v>88</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BB554803-4C25-4225-920E-22AE45C8C203}">
          <xm:f>тест!1:1048576</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71EF-9579-4E95-B099-857978C0ECF2}">
  <dimension ref="A1:I20"/>
  <sheetViews>
    <sheetView workbookViewId="0">
      <selection activeCell="D20" sqref="D20"/>
    </sheetView>
  </sheetViews>
  <sheetFormatPr defaultRowHeight="15" x14ac:dyDescent="0.25"/>
  <cols>
    <col min="1" max="1" width="18.140625" customWidth="1"/>
    <col min="2" max="2" width="19.85546875" customWidth="1"/>
    <col min="3" max="3" width="16.42578125" customWidth="1"/>
    <col min="4" max="4" width="14.7109375" customWidth="1"/>
    <col min="6" max="6" width="15.5703125" customWidth="1"/>
  </cols>
  <sheetData>
    <row r="1" spans="1:9" ht="61.5" customHeight="1" x14ac:dyDescent="0.25">
      <c r="A1" s="43" t="s">
        <v>161</v>
      </c>
      <c r="B1" s="44"/>
      <c r="C1" s="44"/>
      <c r="D1" s="44"/>
      <c r="E1" s="44"/>
      <c r="I1" s="45" t="s">
        <v>154</v>
      </c>
    </row>
    <row r="2" spans="1:9" ht="30" customHeight="1" x14ac:dyDescent="0.25">
      <c r="A2" s="4"/>
      <c r="B2" s="41" t="s">
        <v>150</v>
      </c>
      <c r="C2" s="42" t="s">
        <v>151</v>
      </c>
      <c r="D2" s="41" t="s">
        <v>152</v>
      </c>
      <c r="E2" s="4" t="s">
        <v>157</v>
      </c>
      <c r="G2" s="39" t="s">
        <v>149</v>
      </c>
    </row>
    <row r="3" spans="1:9" ht="27" customHeight="1" x14ac:dyDescent="0.25">
      <c r="A3" s="40" t="s">
        <v>153</v>
      </c>
      <c r="B3" s="41">
        <v>1000</v>
      </c>
      <c r="C3" s="42">
        <v>500</v>
      </c>
      <c r="D3" s="41">
        <v>300</v>
      </c>
      <c r="E3" s="4"/>
      <c r="G3" s="50" t="s">
        <v>166</v>
      </c>
    </row>
    <row r="4" spans="1:9" ht="28.5" customHeight="1" x14ac:dyDescent="0.25">
      <c r="A4" s="40" t="s">
        <v>155</v>
      </c>
      <c r="B4" s="41">
        <v>15</v>
      </c>
      <c r="C4" s="42">
        <v>8</v>
      </c>
      <c r="D4" s="41">
        <v>5</v>
      </c>
      <c r="E4" s="4"/>
      <c r="G4">
        <v>1</v>
      </c>
      <c r="H4" s="11" t="s">
        <v>164</v>
      </c>
    </row>
    <row r="5" spans="1:9" x14ac:dyDescent="0.25">
      <c r="A5" s="4" t="s">
        <v>158</v>
      </c>
      <c r="B5" s="4">
        <v>10</v>
      </c>
      <c r="C5" s="4">
        <v>20</v>
      </c>
      <c r="D5" s="4">
        <v>30</v>
      </c>
      <c r="E5" s="4"/>
      <c r="G5">
        <v>2</v>
      </c>
      <c r="H5" s="11" t="s">
        <v>165</v>
      </c>
    </row>
    <row r="6" spans="1:9" ht="15.75" x14ac:dyDescent="0.25">
      <c r="A6" s="31" t="s">
        <v>159</v>
      </c>
      <c r="B6" s="49">
        <v>0</v>
      </c>
      <c r="C6" s="49">
        <v>0</v>
      </c>
      <c r="D6" s="49">
        <v>0</v>
      </c>
      <c r="E6" s="31"/>
      <c r="G6">
        <v>3</v>
      </c>
      <c r="H6" s="46" t="s">
        <v>162</v>
      </c>
    </row>
    <row r="7" spans="1:9" ht="15.75" x14ac:dyDescent="0.25">
      <c r="A7" s="40" t="s">
        <v>156</v>
      </c>
      <c r="B7" s="4"/>
      <c r="C7" s="4"/>
      <c r="D7" s="4"/>
      <c r="E7" s="47">
        <f>B4*B6+C4*C6+D4*D6</f>
        <v>0</v>
      </c>
      <c r="G7">
        <v>4</v>
      </c>
      <c r="H7" s="46" t="s">
        <v>163</v>
      </c>
    </row>
    <row r="8" spans="1:9" x14ac:dyDescent="0.25">
      <c r="A8" s="40" t="s">
        <v>160</v>
      </c>
      <c r="B8" s="4"/>
      <c r="C8" s="4"/>
      <c r="D8" s="4"/>
      <c r="E8" s="48">
        <f>B3*B6 + C3*C6 + D3*D6</f>
        <v>0</v>
      </c>
      <c r="G8" s="50" t="s">
        <v>167</v>
      </c>
    </row>
    <row r="9" spans="1:9" x14ac:dyDescent="0.25">
      <c r="H9" s="10" t="s">
        <v>168</v>
      </c>
    </row>
    <row r="10" spans="1:9" x14ac:dyDescent="0.25">
      <c r="H10" s="10" t="s">
        <v>169</v>
      </c>
    </row>
    <row r="11" spans="1:9" x14ac:dyDescent="0.25">
      <c r="H11" s="10" t="s">
        <v>170</v>
      </c>
    </row>
    <row r="12" spans="1:9" x14ac:dyDescent="0.25">
      <c r="H12" s="10" t="s">
        <v>171</v>
      </c>
    </row>
    <row r="13" spans="1:9" ht="15.75" x14ac:dyDescent="0.25">
      <c r="A13" s="46" t="s">
        <v>162</v>
      </c>
      <c r="H13" s="10" t="s">
        <v>176</v>
      </c>
    </row>
    <row r="14" spans="1:9" ht="15.75" x14ac:dyDescent="0.25">
      <c r="A14" s="46" t="s">
        <v>163</v>
      </c>
      <c r="I14" s="10" t="s">
        <v>175</v>
      </c>
    </row>
    <row r="15" spans="1:9" x14ac:dyDescent="0.25">
      <c r="I15" s="10" t="s">
        <v>174</v>
      </c>
    </row>
    <row r="16" spans="1:9" x14ac:dyDescent="0.25">
      <c r="I16" s="10" t="s">
        <v>173</v>
      </c>
    </row>
    <row r="17" spans="8:9" x14ac:dyDescent="0.25">
      <c r="I17" s="10" t="s">
        <v>172</v>
      </c>
    </row>
    <row r="18" spans="8:9" x14ac:dyDescent="0.25">
      <c r="I18" s="10" t="s">
        <v>177</v>
      </c>
    </row>
    <row r="19" spans="8:9" x14ac:dyDescent="0.25">
      <c r="H19" s="10" t="s">
        <v>178</v>
      </c>
    </row>
    <row r="20" spans="8:9" x14ac:dyDescent="0.25">
      <c r="H20" s="10" t="s">
        <v>179</v>
      </c>
    </row>
  </sheetData>
  <scenarios current="0">
    <scenario name="поиск_решения _2" count="3" user="User" comment="Автор: User , 9/30/2025">
      <inputCells r="B6" val="0"/>
      <inputCells r="C6" val="0"/>
      <inputCells r="D6" val="0"/>
    </scenario>
  </scenario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E6E1F-FB71-41A1-94B0-BE8C8A670861}">
  <dimension ref="A2:F19"/>
  <sheetViews>
    <sheetView workbookViewId="0">
      <selection activeCell="K29" sqref="K29"/>
    </sheetView>
  </sheetViews>
  <sheetFormatPr defaultRowHeight="15" x14ac:dyDescent="0.25"/>
  <cols>
    <col min="1" max="1" width="22.42578125" customWidth="1"/>
  </cols>
  <sheetData>
    <row r="2" spans="1:6" x14ac:dyDescent="0.25">
      <c r="A2" s="4" t="s">
        <v>105</v>
      </c>
      <c r="B2" s="4" t="s">
        <v>106</v>
      </c>
      <c r="C2" s="4" t="s">
        <v>107</v>
      </c>
      <c r="D2" s="4" t="s">
        <v>108</v>
      </c>
      <c r="E2" s="4" t="s">
        <v>109</v>
      </c>
      <c r="F2" s="4" t="s">
        <v>47</v>
      </c>
    </row>
    <row r="3" spans="1:6" x14ac:dyDescent="0.25">
      <c r="A3" s="4" t="s">
        <v>110</v>
      </c>
      <c r="B3" s="4">
        <v>0.9</v>
      </c>
      <c r="C3" s="4">
        <v>1.1000000000000001</v>
      </c>
      <c r="D3" s="4">
        <v>0.8</v>
      </c>
      <c r="E3" s="4">
        <v>1.2</v>
      </c>
      <c r="F3" s="4"/>
    </row>
    <row r="4" spans="1:6" x14ac:dyDescent="0.25">
      <c r="A4" s="4"/>
      <c r="B4" s="4"/>
      <c r="C4" s="4"/>
      <c r="D4" s="4"/>
      <c r="E4" s="4"/>
      <c r="F4" s="4"/>
    </row>
    <row r="5" spans="1:6" x14ac:dyDescent="0.25">
      <c r="A5" s="4" t="s">
        <v>111</v>
      </c>
      <c r="B5" s="4">
        <v>1725</v>
      </c>
      <c r="C5" s="4">
        <v>2109</v>
      </c>
      <c r="D5" s="4">
        <v>1534</v>
      </c>
      <c r="E5" s="4">
        <v>2300</v>
      </c>
      <c r="F5" s="4">
        <v>7668</v>
      </c>
    </row>
    <row r="6" spans="1:6" x14ac:dyDescent="0.25">
      <c r="A6" s="4" t="s">
        <v>112</v>
      </c>
      <c r="B6" s="4">
        <v>69013</v>
      </c>
      <c r="C6" s="4">
        <v>84349</v>
      </c>
      <c r="D6" s="4">
        <v>61345</v>
      </c>
      <c r="E6" s="4">
        <v>92017</v>
      </c>
      <c r="F6" s="4">
        <v>306725</v>
      </c>
    </row>
    <row r="7" spans="1:6" x14ac:dyDescent="0.25">
      <c r="A7" s="4" t="s">
        <v>113</v>
      </c>
      <c r="B7" s="4">
        <v>43133</v>
      </c>
      <c r="C7" s="4">
        <v>52718</v>
      </c>
      <c r="D7" s="4">
        <v>38341</v>
      </c>
      <c r="E7" s="4">
        <v>57511</v>
      </c>
      <c r="F7" s="4">
        <v>191703</v>
      </c>
    </row>
    <row r="8" spans="1:6" x14ac:dyDescent="0.25">
      <c r="A8" s="4" t="s">
        <v>114</v>
      </c>
      <c r="B8" s="4">
        <v>25880</v>
      </c>
      <c r="C8" s="4">
        <v>31631</v>
      </c>
      <c r="D8" s="4">
        <v>23004</v>
      </c>
      <c r="E8" s="4">
        <v>34507</v>
      </c>
      <c r="F8" s="4">
        <v>115022</v>
      </c>
    </row>
    <row r="9" spans="1:6" x14ac:dyDescent="0.25">
      <c r="A9" s="4"/>
      <c r="B9" s="4"/>
      <c r="C9" s="4"/>
      <c r="D9" s="4"/>
      <c r="E9" s="4"/>
      <c r="F9" s="4"/>
    </row>
    <row r="10" spans="1:6" x14ac:dyDescent="0.25">
      <c r="A10" s="4" t="s">
        <v>115</v>
      </c>
      <c r="B10" s="4">
        <v>8000</v>
      </c>
      <c r="C10" s="4">
        <v>8000</v>
      </c>
      <c r="D10" s="4">
        <v>9000</v>
      </c>
      <c r="E10" s="4">
        <v>9000</v>
      </c>
      <c r="F10" s="4">
        <v>34000</v>
      </c>
    </row>
    <row r="11" spans="1:6" x14ac:dyDescent="0.25">
      <c r="A11" s="4" t="s">
        <v>116</v>
      </c>
      <c r="B11" s="4">
        <v>0</v>
      </c>
      <c r="C11" s="4">
        <v>0</v>
      </c>
      <c r="D11" s="4">
        <v>0</v>
      </c>
      <c r="E11" s="4">
        <v>0</v>
      </c>
      <c r="F11" s="4">
        <v>0</v>
      </c>
    </row>
    <row r="12" spans="1:6" x14ac:dyDescent="0.25">
      <c r="A12" s="4" t="s">
        <v>117</v>
      </c>
      <c r="B12" s="4">
        <v>10352</v>
      </c>
      <c r="C12" s="4">
        <v>12652</v>
      </c>
      <c r="D12" s="4">
        <v>9202</v>
      </c>
      <c r="E12" s="4">
        <v>13803</v>
      </c>
      <c r="F12" s="4">
        <v>46009</v>
      </c>
    </row>
    <row r="13" spans="1:6" x14ac:dyDescent="0.25">
      <c r="A13" s="4" t="s">
        <v>118</v>
      </c>
      <c r="B13" s="4">
        <v>18352</v>
      </c>
      <c r="C13" s="4">
        <v>20652</v>
      </c>
      <c r="D13" s="4">
        <v>18202</v>
      </c>
      <c r="E13" s="4">
        <v>22803</v>
      </c>
      <c r="F13" s="4">
        <v>80009</v>
      </c>
    </row>
    <row r="14" spans="1:6" x14ac:dyDescent="0.25">
      <c r="A14" s="4"/>
      <c r="B14" s="4"/>
      <c r="C14" s="4"/>
      <c r="D14" s="4"/>
      <c r="E14" s="4"/>
      <c r="F14" s="4"/>
    </row>
    <row r="15" spans="1:6" x14ac:dyDescent="0.25">
      <c r="A15" s="4" t="s">
        <v>119</v>
      </c>
      <c r="B15" s="4">
        <v>7528</v>
      </c>
      <c r="C15" s="4">
        <v>10979</v>
      </c>
      <c r="D15" s="4">
        <v>4803</v>
      </c>
      <c r="E15" s="4">
        <v>11704</v>
      </c>
      <c r="F15" s="4">
        <v>35013</v>
      </c>
    </row>
    <row r="16" spans="1:6" x14ac:dyDescent="0.25">
      <c r="A16" s="4" t="s">
        <v>120</v>
      </c>
      <c r="B16" s="27">
        <v>0.11</v>
      </c>
      <c r="C16" s="27">
        <v>0.13</v>
      </c>
      <c r="D16" s="27">
        <v>0.08</v>
      </c>
      <c r="E16" s="27">
        <v>0.13</v>
      </c>
      <c r="F16" s="27">
        <v>0.11</v>
      </c>
    </row>
    <row r="18" spans="1:2" x14ac:dyDescent="0.25">
      <c r="A18" s="4" t="s">
        <v>121</v>
      </c>
      <c r="B18" s="4">
        <v>40</v>
      </c>
    </row>
    <row r="19" spans="1:2" x14ac:dyDescent="0.25">
      <c r="A19" s="4" t="s">
        <v>122</v>
      </c>
      <c r="B19" s="4">
        <v>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CC78-3839-4505-8547-FDCD6A0470AD}">
  <dimension ref="A1:E16"/>
  <sheetViews>
    <sheetView workbookViewId="0">
      <selection activeCell="I33" sqref="I33"/>
    </sheetView>
  </sheetViews>
  <sheetFormatPr defaultRowHeight="15" x14ac:dyDescent="0.25"/>
  <cols>
    <col min="1" max="1" width="9.140625" customWidth="1"/>
    <col min="2" max="2" width="24.42578125" customWidth="1"/>
    <col min="3" max="3" width="16" customWidth="1"/>
  </cols>
  <sheetData>
    <row r="1" spans="1:5" ht="15.75" x14ac:dyDescent="0.25">
      <c r="A1" s="16" t="s">
        <v>3</v>
      </c>
      <c r="B1" s="7" t="s">
        <v>4</v>
      </c>
      <c r="C1" s="7"/>
      <c r="E1" s="1" t="s">
        <v>0</v>
      </c>
    </row>
    <row r="2" spans="1:5" x14ac:dyDescent="0.25">
      <c r="A2" s="4">
        <v>50000</v>
      </c>
      <c r="E2" s="2"/>
    </row>
    <row r="3" spans="1:5" x14ac:dyDescent="0.25">
      <c r="A3" s="4">
        <v>60000</v>
      </c>
      <c r="B3" t="s">
        <v>5</v>
      </c>
      <c r="C3">
        <v>70000</v>
      </c>
      <c r="D3">
        <v>1</v>
      </c>
      <c r="E3" s="14" t="s">
        <v>1</v>
      </c>
    </row>
    <row r="4" spans="1:5" x14ac:dyDescent="0.25">
      <c r="A4" s="4">
        <v>70000</v>
      </c>
      <c r="B4" t="s">
        <v>6</v>
      </c>
      <c r="C4">
        <v>7071.0678118654751</v>
      </c>
      <c r="D4">
        <v>2</v>
      </c>
      <c r="E4" s="15" t="s">
        <v>23</v>
      </c>
    </row>
    <row r="5" spans="1:5" x14ac:dyDescent="0.25">
      <c r="A5" s="4">
        <v>80000</v>
      </c>
      <c r="B5" t="s">
        <v>7</v>
      </c>
      <c r="C5">
        <v>70000</v>
      </c>
      <c r="D5">
        <v>3</v>
      </c>
      <c r="E5" s="15" t="s">
        <v>24</v>
      </c>
    </row>
    <row r="6" spans="1:5" x14ac:dyDescent="0.25">
      <c r="A6" s="4">
        <v>90000</v>
      </c>
      <c r="B6" t="s">
        <v>8</v>
      </c>
      <c r="C6" t="e">
        <v>#N/A</v>
      </c>
      <c r="D6">
        <v>4</v>
      </c>
      <c r="E6" s="15" t="s">
        <v>25</v>
      </c>
    </row>
    <row r="7" spans="1:5" ht="15.75" x14ac:dyDescent="0.25">
      <c r="B7" t="s">
        <v>9</v>
      </c>
      <c r="C7">
        <v>15811.388300841896</v>
      </c>
      <c r="E7" s="3" t="s">
        <v>2</v>
      </c>
    </row>
    <row r="8" spans="1:5" x14ac:dyDescent="0.25">
      <c r="B8" t="s">
        <v>10</v>
      </c>
      <c r="C8">
        <v>250000000</v>
      </c>
    </row>
    <row r="9" spans="1:5" x14ac:dyDescent="0.25">
      <c r="B9" t="s">
        <v>11</v>
      </c>
      <c r="C9">
        <v>-1.1999999999999984</v>
      </c>
    </row>
    <row r="10" spans="1:5" ht="15.75" x14ac:dyDescent="0.25">
      <c r="B10" t="s">
        <v>12</v>
      </c>
      <c r="C10">
        <v>0</v>
      </c>
      <c r="E10" s="1" t="s">
        <v>18</v>
      </c>
    </row>
    <row r="11" spans="1:5" x14ac:dyDescent="0.25">
      <c r="B11" t="s">
        <v>13</v>
      </c>
      <c r="C11">
        <v>40000</v>
      </c>
      <c r="E11" s="2"/>
    </row>
    <row r="12" spans="1:5" x14ac:dyDescent="0.25">
      <c r="B12" t="s">
        <v>14</v>
      </c>
      <c r="C12">
        <v>50000</v>
      </c>
      <c r="D12">
        <v>1</v>
      </c>
      <c r="E12" s="12" t="s">
        <v>20</v>
      </c>
    </row>
    <row r="13" spans="1:5" x14ac:dyDescent="0.25">
      <c r="B13" t="s">
        <v>15</v>
      </c>
      <c r="C13">
        <v>90000</v>
      </c>
      <c r="D13">
        <v>2</v>
      </c>
      <c r="E13" s="11" t="s">
        <v>19</v>
      </c>
    </row>
    <row r="14" spans="1:5" x14ac:dyDescent="0.25">
      <c r="B14" t="s">
        <v>16</v>
      </c>
      <c r="C14">
        <v>350000</v>
      </c>
      <c r="D14">
        <v>3</v>
      </c>
      <c r="E14" s="13" t="s">
        <v>22</v>
      </c>
    </row>
    <row r="15" spans="1:5" ht="15.75" thickBot="1" x14ac:dyDescent="0.3">
      <c r="B15" s="5" t="s">
        <v>17</v>
      </c>
      <c r="C15" s="5">
        <v>5</v>
      </c>
      <c r="D15">
        <v>4</v>
      </c>
      <c r="E15" s="11" t="s">
        <v>21</v>
      </c>
    </row>
    <row r="16" spans="1:5" x14ac:dyDescent="0.25">
      <c r="D16">
        <v>5</v>
      </c>
      <c r="E16" s="11" t="s">
        <v>26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5AFB-372B-4440-92A7-4B94D56239A0}">
  <dimension ref="A1:J40"/>
  <sheetViews>
    <sheetView zoomScale="85" zoomScaleNormal="85" workbookViewId="0">
      <selection activeCell="I33" sqref="I33"/>
    </sheetView>
  </sheetViews>
  <sheetFormatPr defaultRowHeight="15" x14ac:dyDescent="0.25"/>
  <cols>
    <col min="1" max="1" width="23.5703125" customWidth="1"/>
    <col min="2" max="2" width="11.28515625" customWidth="1"/>
    <col min="3" max="6" width="13.42578125" customWidth="1"/>
    <col min="7" max="9" width="9.28515625" bestFit="1" customWidth="1"/>
  </cols>
  <sheetData>
    <row r="1" spans="1:10" ht="43.5" customHeight="1" x14ac:dyDescent="0.25">
      <c r="A1" s="18" t="s">
        <v>27</v>
      </c>
      <c r="B1" s="18" t="s">
        <v>28</v>
      </c>
    </row>
    <row r="2" spans="1:10" ht="15.75" x14ac:dyDescent="0.25">
      <c r="A2" s="17">
        <v>1000</v>
      </c>
      <c r="B2" s="17">
        <v>10000</v>
      </c>
      <c r="G2" s="1" t="s">
        <v>29</v>
      </c>
    </row>
    <row r="3" spans="1:10" x14ac:dyDescent="0.25">
      <c r="A3" s="17">
        <v>2000</v>
      </c>
      <c r="B3" s="17">
        <v>15000</v>
      </c>
      <c r="G3" s="2"/>
    </row>
    <row r="4" spans="1:10" ht="15.75" x14ac:dyDescent="0.25">
      <c r="A4" s="17">
        <v>3000</v>
      </c>
      <c r="B4" s="17">
        <v>20000</v>
      </c>
      <c r="F4">
        <v>1</v>
      </c>
      <c r="G4" s="9" t="s">
        <v>33</v>
      </c>
    </row>
    <row r="5" spans="1:10" x14ac:dyDescent="0.25">
      <c r="A5" s="17">
        <v>4000</v>
      </c>
      <c r="B5" s="17">
        <v>25000</v>
      </c>
      <c r="F5">
        <v>2</v>
      </c>
      <c r="G5" s="10" t="s">
        <v>34</v>
      </c>
    </row>
    <row r="6" spans="1:10" ht="15.75" x14ac:dyDescent="0.25">
      <c r="A6" s="17">
        <v>5000</v>
      </c>
      <c r="B6" s="17">
        <v>30000</v>
      </c>
      <c r="F6">
        <v>3</v>
      </c>
      <c r="G6" s="19" t="s">
        <v>35</v>
      </c>
    </row>
    <row r="7" spans="1:10" x14ac:dyDescent="0.25">
      <c r="F7">
        <v>4</v>
      </c>
      <c r="G7" s="10" t="s">
        <v>30</v>
      </c>
    </row>
    <row r="8" spans="1:10" x14ac:dyDescent="0.25">
      <c r="F8">
        <v>5</v>
      </c>
      <c r="G8" s="10" t="s">
        <v>31</v>
      </c>
    </row>
    <row r="9" spans="1:10" x14ac:dyDescent="0.25">
      <c r="F9">
        <v>6</v>
      </c>
      <c r="G9" s="10" t="s">
        <v>32</v>
      </c>
    </row>
    <row r="11" spans="1:10" ht="15.75" x14ac:dyDescent="0.25">
      <c r="G11" s="8" t="s">
        <v>37</v>
      </c>
    </row>
    <row r="12" spans="1:10" x14ac:dyDescent="0.25">
      <c r="G12" t="s">
        <v>36</v>
      </c>
    </row>
    <row r="15" spans="1:10" ht="15.75" thickBot="1" x14ac:dyDescent="0.3">
      <c r="A15" t="s">
        <v>38</v>
      </c>
    </row>
    <row r="16" spans="1:10" x14ac:dyDescent="0.25">
      <c r="A16" s="20" t="s">
        <v>39</v>
      </c>
      <c r="B16" s="20"/>
      <c r="C16" s="21"/>
      <c r="D16" s="21"/>
      <c r="E16" s="21"/>
      <c r="F16" s="21"/>
      <c r="G16" s="21"/>
      <c r="H16" s="21"/>
      <c r="I16" s="21"/>
      <c r="J16" s="21"/>
    </row>
    <row r="17" spans="1:10" x14ac:dyDescent="0.25">
      <c r="A17" s="21" t="s">
        <v>40</v>
      </c>
      <c r="B17" s="21">
        <v>1</v>
      </c>
      <c r="C17" s="21"/>
      <c r="D17" s="21"/>
      <c r="E17" s="21"/>
      <c r="F17" s="21"/>
      <c r="G17" s="21"/>
      <c r="H17" s="21"/>
      <c r="I17" s="21"/>
      <c r="J17" s="21"/>
    </row>
    <row r="18" spans="1:10" x14ac:dyDescent="0.25">
      <c r="A18" s="21" t="s">
        <v>41</v>
      </c>
      <c r="B18" s="21">
        <v>1</v>
      </c>
      <c r="C18" s="21"/>
      <c r="D18" s="21"/>
      <c r="E18" s="21"/>
      <c r="F18" s="21"/>
      <c r="G18" s="21"/>
      <c r="H18" s="21"/>
      <c r="I18" s="21"/>
      <c r="J18" s="21"/>
    </row>
    <row r="19" spans="1:10" x14ac:dyDescent="0.25">
      <c r="A19" s="21" t="s">
        <v>42</v>
      </c>
      <c r="B19" s="21">
        <v>1</v>
      </c>
      <c r="C19" s="21"/>
      <c r="D19" s="21"/>
      <c r="E19" s="21"/>
      <c r="F19" s="21"/>
      <c r="G19" s="21"/>
      <c r="H19" s="21"/>
      <c r="I19" s="21"/>
      <c r="J19" s="21"/>
    </row>
    <row r="20" spans="1:10" x14ac:dyDescent="0.25">
      <c r="A20" s="21" t="s">
        <v>6</v>
      </c>
      <c r="B20" s="21">
        <v>2.6774799050835543E-12</v>
      </c>
      <c r="C20" s="21"/>
      <c r="D20" s="21"/>
      <c r="E20" s="21"/>
      <c r="F20" s="21"/>
      <c r="G20" s="21"/>
      <c r="H20" s="21"/>
      <c r="I20" s="21"/>
      <c r="J20" s="21"/>
    </row>
    <row r="21" spans="1:10" ht="15.75" thickBot="1" x14ac:dyDescent="0.3">
      <c r="A21" s="22" t="s">
        <v>43</v>
      </c>
      <c r="B21" s="22">
        <v>5</v>
      </c>
      <c r="C21" s="21"/>
      <c r="D21" s="21"/>
      <c r="E21" s="21"/>
      <c r="F21" s="21"/>
      <c r="G21" s="21"/>
      <c r="H21" s="21"/>
      <c r="I21" s="21"/>
      <c r="J21" s="21"/>
    </row>
    <row r="22" spans="1:10" x14ac:dyDescent="0.25">
      <c r="A22" s="21"/>
      <c r="B22" s="21"/>
      <c r="C22" s="21"/>
      <c r="D22" s="21"/>
      <c r="E22" s="21"/>
      <c r="F22" s="21"/>
      <c r="G22" s="21"/>
      <c r="H22" s="21"/>
      <c r="I22" s="21"/>
      <c r="J22" s="21"/>
    </row>
    <row r="23" spans="1:10" ht="15.75" thickBot="1" x14ac:dyDescent="0.3">
      <c r="A23" s="21" t="s">
        <v>44</v>
      </c>
      <c r="B23" s="21"/>
      <c r="C23" s="21"/>
      <c r="D23" s="21"/>
      <c r="E23" s="21"/>
      <c r="F23" s="21"/>
      <c r="G23" s="21"/>
      <c r="H23" s="21"/>
      <c r="I23" s="21"/>
      <c r="J23" s="21"/>
    </row>
    <row r="24" spans="1:10" x14ac:dyDescent="0.25">
      <c r="A24" s="23"/>
      <c r="B24" s="23" t="s">
        <v>49</v>
      </c>
      <c r="C24" s="23" t="s">
        <v>50</v>
      </c>
      <c r="D24" s="23" t="s">
        <v>51</v>
      </c>
      <c r="E24" s="23" t="s">
        <v>52</v>
      </c>
      <c r="F24" s="23" t="s">
        <v>53</v>
      </c>
      <c r="G24" s="21"/>
      <c r="H24" s="21"/>
      <c r="I24" s="21"/>
      <c r="J24" s="21"/>
    </row>
    <row r="25" spans="1:10" x14ac:dyDescent="0.25">
      <c r="A25" s="21" t="s">
        <v>45</v>
      </c>
      <c r="B25" s="21">
        <v>1</v>
      </c>
      <c r="C25" s="21">
        <v>250000000</v>
      </c>
      <c r="D25" s="21">
        <v>250000000</v>
      </c>
      <c r="E25" s="21">
        <v>3.4872860181191228E+31</v>
      </c>
      <c r="F25" s="21">
        <v>1.0708765122044985E-47</v>
      </c>
      <c r="G25" s="21"/>
      <c r="H25" s="21"/>
      <c r="I25" s="21"/>
      <c r="J25" s="21"/>
    </row>
    <row r="26" spans="1:10" x14ac:dyDescent="0.25">
      <c r="A26" s="21" t="s">
        <v>46</v>
      </c>
      <c r="B26" s="21">
        <v>3</v>
      </c>
      <c r="C26" s="21">
        <v>2.150669592637872E-23</v>
      </c>
      <c r="D26" s="21">
        <v>7.1688986421262394E-24</v>
      </c>
      <c r="E26" s="21"/>
      <c r="F26" s="21"/>
      <c r="G26" s="21"/>
      <c r="H26" s="21"/>
      <c r="I26" s="21"/>
      <c r="J26" s="21"/>
    </row>
    <row r="27" spans="1:10" ht="15.75" thickBot="1" x14ac:dyDescent="0.3">
      <c r="A27" s="22" t="s">
        <v>47</v>
      </c>
      <c r="B27" s="22">
        <v>4</v>
      </c>
      <c r="C27" s="22">
        <v>250000000</v>
      </c>
      <c r="D27" s="22"/>
      <c r="E27" s="22"/>
      <c r="F27" s="22"/>
      <c r="G27" s="21"/>
      <c r="H27" s="21"/>
      <c r="I27" s="21"/>
      <c r="J27" s="21"/>
    </row>
    <row r="28" spans="1:10" ht="15.75" thickBot="1" x14ac:dyDescent="0.3">
      <c r="A28" s="21"/>
      <c r="B28" s="21"/>
      <c r="C28" s="21"/>
      <c r="D28" s="21"/>
      <c r="E28" s="21"/>
      <c r="F28" s="21"/>
      <c r="G28" s="21"/>
      <c r="H28" s="21"/>
      <c r="I28" s="21"/>
      <c r="J28" s="21"/>
    </row>
    <row r="29" spans="1:10" x14ac:dyDescent="0.25">
      <c r="A29" s="24"/>
      <c r="B29" s="24" t="s">
        <v>54</v>
      </c>
      <c r="C29" s="24" t="s">
        <v>6</v>
      </c>
      <c r="D29" s="24" t="s">
        <v>55</v>
      </c>
      <c r="E29" s="24" t="s">
        <v>56</v>
      </c>
      <c r="F29" s="24" t="s">
        <v>57</v>
      </c>
      <c r="G29" s="24" t="s">
        <v>58</v>
      </c>
      <c r="H29" s="24" t="s">
        <v>59</v>
      </c>
      <c r="I29" s="24" t="s">
        <v>60</v>
      </c>
      <c r="J29" s="21"/>
    </row>
    <row r="30" spans="1:10" x14ac:dyDescent="0.25">
      <c r="A30" s="21" t="s">
        <v>48</v>
      </c>
      <c r="B30" s="21">
        <v>5000</v>
      </c>
      <c r="C30" s="21">
        <v>2.8081646152494093E-12</v>
      </c>
      <c r="D30" s="21">
        <v>1780522399879296.8</v>
      </c>
      <c r="E30" s="21">
        <v>3.9068651465654686E-46</v>
      </c>
      <c r="F30" s="21">
        <v>4999.9999999999909</v>
      </c>
      <c r="G30" s="21">
        <v>5000.0000000000091</v>
      </c>
      <c r="H30" s="21">
        <v>4999.9999999999909</v>
      </c>
      <c r="I30" s="21">
        <v>5000.0000000000091</v>
      </c>
      <c r="J30" s="21"/>
    </row>
    <row r="31" spans="1:10" ht="15.75" thickBot="1" x14ac:dyDescent="0.3">
      <c r="A31" s="22" t="s">
        <v>61</v>
      </c>
      <c r="B31" s="22">
        <v>5</v>
      </c>
      <c r="C31" s="22">
        <v>8.4669348893954772E-16</v>
      </c>
      <c r="D31" s="22">
        <v>5905324731222765</v>
      </c>
      <c r="E31" s="22">
        <v>1.0708765122044985E-47</v>
      </c>
      <c r="F31" s="22">
        <v>4.9999999999999973</v>
      </c>
      <c r="G31" s="22">
        <v>5.0000000000000027</v>
      </c>
      <c r="H31" s="22">
        <v>4.9999999999999973</v>
      </c>
      <c r="I31" s="22">
        <v>5.0000000000000027</v>
      </c>
      <c r="J31" s="21"/>
    </row>
    <row r="32" spans="1:10" x14ac:dyDescent="0.25">
      <c r="A32" s="21"/>
      <c r="B32" s="21"/>
      <c r="C32" s="21"/>
      <c r="D32" s="21"/>
      <c r="E32" s="21"/>
      <c r="F32" s="21"/>
      <c r="G32" s="21"/>
      <c r="H32" s="21"/>
      <c r="I32" s="21"/>
      <c r="J32" s="21"/>
    </row>
    <row r="33" spans="1:10" x14ac:dyDescent="0.25">
      <c r="B33" s="21"/>
      <c r="C33" s="21"/>
      <c r="D33" s="21"/>
      <c r="E33" s="21"/>
      <c r="F33" s="21"/>
      <c r="G33" s="21"/>
      <c r="H33" s="21"/>
      <c r="I33" s="21"/>
      <c r="J33" s="21"/>
    </row>
    <row r="34" spans="1:10" ht="15.75" thickBot="1" x14ac:dyDescent="0.3">
      <c r="A34" s="21" t="s">
        <v>62</v>
      </c>
      <c r="B34" s="21"/>
      <c r="C34" s="21"/>
      <c r="D34" s="21"/>
      <c r="E34" s="21"/>
      <c r="F34" s="21"/>
      <c r="G34" s="21"/>
      <c r="H34" s="21"/>
      <c r="I34" s="21"/>
      <c r="J34" s="21"/>
    </row>
    <row r="35" spans="1:10" x14ac:dyDescent="0.25">
      <c r="A35" s="23" t="s">
        <v>63</v>
      </c>
      <c r="B35" s="23" t="s">
        <v>64</v>
      </c>
      <c r="C35" s="23" t="s">
        <v>65</v>
      </c>
      <c r="D35" s="21"/>
      <c r="E35" s="21"/>
      <c r="F35" s="21"/>
      <c r="G35" s="21"/>
      <c r="H35" s="21"/>
      <c r="I35" s="21"/>
      <c r="J35" s="21"/>
    </row>
    <row r="36" spans="1:10" x14ac:dyDescent="0.25">
      <c r="A36" s="21">
        <v>1</v>
      </c>
      <c r="B36" s="21">
        <v>10000</v>
      </c>
      <c r="C36" s="21">
        <v>0</v>
      </c>
      <c r="D36" s="21"/>
      <c r="E36" s="21"/>
      <c r="F36" s="21"/>
      <c r="G36" s="21"/>
      <c r="H36" s="21"/>
      <c r="I36" s="21"/>
      <c r="J36" s="21"/>
    </row>
    <row r="37" spans="1:10" x14ac:dyDescent="0.25">
      <c r="A37" s="21">
        <v>2</v>
      </c>
      <c r="B37" s="21">
        <v>15000</v>
      </c>
      <c r="C37" s="21">
        <v>0</v>
      </c>
      <c r="D37" s="21"/>
      <c r="E37" s="21"/>
      <c r="F37" s="21"/>
      <c r="G37" s="21"/>
      <c r="H37" s="21"/>
      <c r="I37" s="21"/>
      <c r="J37" s="21"/>
    </row>
    <row r="38" spans="1:10" x14ac:dyDescent="0.25">
      <c r="A38" s="21">
        <v>3</v>
      </c>
      <c r="B38" s="21">
        <v>20000</v>
      </c>
      <c r="C38" s="21">
        <v>0</v>
      </c>
      <c r="D38" s="21"/>
      <c r="E38" s="21"/>
      <c r="F38" s="21"/>
      <c r="G38" s="21"/>
      <c r="H38" s="21"/>
      <c r="I38" s="21"/>
      <c r="J38" s="21"/>
    </row>
    <row r="39" spans="1:10" x14ac:dyDescent="0.25">
      <c r="A39" s="21">
        <v>4</v>
      </c>
      <c r="B39" s="21">
        <v>25000</v>
      </c>
      <c r="C39" s="21">
        <v>0</v>
      </c>
      <c r="D39" s="21"/>
      <c r="E39" s="21"/>
      <c r="F39" s="21"/>
      <c r="G39" s="21"/>
      <c r="H39" s="21"/>
      <c r="I39" s="21"/>
      <c r="J39" s="21"/>
    </row>
    <row r="40" spans="1:10" ht="15.75" thickBot="1" x14ac:dyDescent="0.3">
      <c r="A40" s="22">
        <v>5</v>
      </c>
      <c r="B40" s="22">
        <v>30000</v>
      </c>
      <c r="C40" s="22">
        <v>0</v>
      </c>
      <c r="D40" s="21"/>
      <c r="E40" s="21"/>
      <c r="F40" s="21"/>
      <c r="G40" s="21"/>
      <c r="H40" s="21"/>
      <c r="I40" s="21"/>
      <c r="J40"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393C-7A34-4AD3-A104-FC76447BB61A}">
  <dimension ref="A1:M33"/>
  <sheetViews>
    <sheetView workbookViewId="0">
      <selection activeCell="E30" sqref="E30"/>
    </sheetView>
  </sheetViews>
  <sheetFormatPr defaultRowHeight="15" x14ac:dyDescent="0.25"/>
  <cols>
    <col min="1" max="1" width="34.140625" customWidth="1"/>
    <col min="2" max="2" width="13.7109375" customWidth="1"/>
    <col min="3" max="3" width="15.140625" customWidth="1"/>
    <col min="7" max="7" width="20.5703125" customWidth="1"/>
    <col min="11" max="11" width="12.5703125" customWidth="1"/>
    <col min="12" max="12" width="12.42578125" customWidth="1"/>
    <col min="13" max="13" width="16.140625" customWidth="1"/>
  </cols>
  <sheetData>
    <row r="1" spans="1:10" ht="24.75" x14ac:dyDescent="0.5">
      <c r="A1" s="16" t="s">
        <v>66</v>
      </c>
      <c r="B1" s="16" t="s">
        <v>67</v>
      </c>
      <c r="D1" s="4" t="s">
        <v>83</v>
      </c>
      <c r="E1" s="4" t="s">
        <v>84</v>
      </c>
      <c r="F1" s="4" t="s">
        <v>85</v>
      </c>
      <c r="J1" s="25" t="s">
        <v>68</v>
      </c>
    </row>
    <row r="2" spans="1:10" x14ac:dyDescent="0.25">
      <c r="A2" s="4">
        <v>80</v>
      </c>
      <c r="B2" s="4">
        <v>75</v>
      </c>
      <c r="D2" s="4">
        <v>40</v>
      </c>
      <c r="E2" s="4">
        <v>45</v>
      </c>
      <c r="F2" s="4">
        <v>50</v>
      </c>
    </row>
    <row r="3" spans="1:10" ht="15.75" x14ac:dyDescent="0.25">
      <c r="A3" s="4">
        <v>85</v>
      </c>
      <c r="B3" s="4">
        <v>80</v>
      </c>
      <c r="D3" s="4">
        <v>45</v>
      </c>
      <c r="E3" s="4">
        <v>50</v>
      </c>
      <c r="F3" s="4">
        <v>55</v>
      </c>
      <c r="I3" s="26" t="s">
        <v>69</v>
      </c>
    </row>
    <row r="4" spans="1:10" ht="15.75" x14ac:dyDescent="0.25">
      <c r="A4" s="4">
        <v>90</v>
      </c>
      <c r="B4" s="4">
        <v>85</v>
      </c>
      <c r="D4" s="4">
        <v>50</v>
      </c>
      <c r="E4" s="4">
        <v>55</v>
      </c>
      <c r="F4" s="4">
        <v>60</v>
      </c>
      <c r="H4">
        <v>1</v>
      </c>
      <c r="I4" s="9" t="s">
        <v>71</v>
      </c>
    </row>
    <row r="5" spans="1:10" x14ac:dyDescent="0.25">
      <c r="A5" s="4">
        <v>75</v>
      </c>
      <c r="B5" s="4">
        <v>70</v>
      </c>
      <c r="D5" s="4">
        <v>55</v>
      </c>
      <c r="E5" s="4">
        <v>60</v>
      </c>
      <c r="F5" s="4">
        <v>65</v>
      </c>
      <c r="H5">
        <v>2</v>
      </c>
      <c r="I5" s="11" t="s">
        <v>87</v>
      </c>
    </row>
    <row r="6" spans="1:10" ht="15.75" x14ac:dyDescent="0.25">
      <c r="A6" s="4">
        <v>80</v>
      </c>
      <c r="B6" s="4">
        <v>75</v>
      </c>
      <c r="H6">
        <v>4</v>
      </c>
      <c r="I6" s="19" t="s">
        <v>72</v>
      </c>
    </row>
    <row r="7" spans="1:10" x14ac:dyDescent="0.25">
      <c r="H7">
        <v>5</v>
      </c>
      <c r="I7" s="11" t="s">
        <v>88</v>
      </c>
    </row>
    <row r="11" spans="1:10" ht="15.75" x14ac:dyDescent="0.25">
      <c r="I11" s="26" t="s">
        <v>86</v>
      </c>
    </row>
    <row r="12" spans="1:10" ht="15.75" x14ac:dyDescent="0.25">
      <c r="A12" t="s">
        <v>73</v>
      </c>
      <c r="H12">
        <v>1</v>
      </c>
      <c r="I12" s="9" t="s">
        <v>71</v>
      </c>
    </row>
    <row r="13" spans="1:10" ht="15.75" thickBot="1" x14ac:dyDescent="0.3">
      <c r="H13">
        <v>2</v>
      </c>
      <c r="I13" s="11" t="s">
        <v>70</v>
      </c>
    </row>
    <row r="14" spans="1:10" ht="15.75" x14ac:dyDescent="0.25">
      <c r="A14" s="6"/>
      <c r="B14" s="6" t="s">
        <v>74</v>
      </c>
      <c r="C14" s="6" t="s">
        <v>75</v>
      </c>
      <c r="H14">
        <v>3</v>
      </c>
      <c r="I14" s="19" t="s">
        <v>72</v>
      </c>
    </row>
    <row r="15" spans="1:10" x14ac:dyDescent="0.25">
      <c r="A15" t="s">
        <v>5</v>
      </c>
      <c r="B15">
        <v>82</v>
      </c>
      <c r="C15">
        <v>77</v>
      </c>
      <c r="H15">
        <v>4</v>
      </c>
      <c r="I15" s="11" t="s">
        <v>88</v>
      </c>
    </row>
    <row r="16" spans="1:10" x14ac:dyDescent="0.25">
      <c r="A16" t="s">
        <v>76</v>
      </c>
      <c r="B16">
        <v>32.5</v>
      </c>
      <c r="C16">
        <v>32.5</v>
      </c>
    </row>
    <row r="17" spans="1:13" x14ac:dyDescent="0.25">
      <c r="A17" t="s">
        <v>43</v>
      </c>
      <c r="B17">
        <v>5</v>
      </c>
      <c r="C17">
        <v>5</v>
      </c>
    </row>
    <row r="18" spans="1:13" x14ac:dyDescent="0.25">
      <c r="A18" t="s">
        <v>77</v>
      </c>
      <c r="B18">
        <v>1.0000000000000002</v>
      </c>
    </row>
    <row r="19" spans="1:13" x14ac:dyDescent="0.25">
      <c r="A19" t="s">
        <v>78</v>
      </c>
      <c r="B19">
        <v>0</v>
      </c>
      <c r="G19" t="s">
        <v>89</v>
      </c>
    </row>
    <row r="20" spans="1:13" x14ac:dyDescent="0.25">
      <c r="A20" t="s">
        <v>49</v>
      </c>
      <c r="B20">
        <v>4</v>
      </c>
    </row>
    <row r="21" spans="1:13" ht="15.75" thickBot="1" x14ac:dyDescent="0.3">
      <c r="A21" t="s">
        <v>55</v>
      </c>
      <c r="B21" t="e">
        <v>#DIV/0!</v>
      </c>
      <c r="G21" t="s">
        <v>90</v>
      </c>
    </row>
    <row r="22" spans="1:13" x14ac:dyDescent="0.25">
      <c r="A22" t="s">
        <v>79</v>
      </c>
      <c r="B22" t="e">
        <v>#DIV/0!</v>
      </c>
      <c r="G22" s="6" t="s">
        <v>91</v>
      </c>
      <c r="H22" s="6" t="s">
        <v>17</v>
      </c>
      <c r="I22" s="6" t="s">
        <v>16</v>
      </c>
      <c r="J22" s="6" t="s">
        <v>5</v>
      </c>
      <c r="K22" s="6" t="s">
        <v>76</v>
      </c>
    </row>
    <row r="23" spans="1:13" x14ac:dyDescent="0.25">
      <c r="A23" t="s">
        <v>80</v>
      </c>
      <c r="B23" t="e">
        <v>#DIV/0!</v>
      </c>
      <c r="G23" t="s">
        <v>92</v>
      </c>
      <c r="H23">
        <v>4</v>
      </c>
      <c r="I23">
        <v>190</v>
      </c>
      <c r="J23">
        <v>47.5</v>
      </c>
      <c r="K23">
        <v>41.666666666666664</v>
      </c>
    </row>
    <row r="24" spans="1:13" x14ac:dyDescent="0.25">
      <c r="A24" t="s">
        <v>81</v>
      </c>
      <c r="B24" t="e">
        <v>#DIV/0!</v>
      </c>
      <c r="G24" t="s">
        <v>93</v>
      </c>
      <c r="H24">
        <v>4</v>
      </c>
      <c r="I24">
        <v>210</v>
      </c>
      <c r="J24">
        <v>52.5</v>
      </c>
      <c r="K24">
        <v>41.666666666666664</v>
      </c>
    </row>
    <row r="25" spans="1:13" ht="15.75" thickBot="1" x14ac:dyDescent="0.3">
      <c r="A25" s="5" t="s">
        <v>82</v>
      </c>
      <c r="B25" s="5" t="e">
        <v>#DIV/0!</v>
      </c>
      <c r="C25" s="5"/>
      <c r="G25" s="5" t="s">
        <v>94</v>
      </c>
      <c r="H25" s="5">
        <v>4</v>
      </c>
      <c r="I25" s="5">
        <v>230</v>
      </c>
      <c r="J25" s="5">
        <v>57.5</v>
      </c>
      <c r="K25" s="5">
        <v>41.666666666666664</v>
      </c>
    </row>
    <row r="28" spans="1:13" ht="15.75" thickBot="1" x14ac:dyDescent="0.3">
      <c r="G28" t="s">
        <v>44</v>
      </c>
    </row>
    <row r="29" spans="1:13" x14ac:dyDescent="0.25">
      <c r="G29" s="6" t="s">
        <v>95</v>
      </c>
      <c r="H29" s="6" t="s">
        <v>50</v>
      </c>
      <c r="I29" s="6" t="s">
        <v>49</v>
      </c>
      <c r="J29" s="6" t="s">
        <v>51</v>
      </c>
      <c r="K29" s="6" t="s">
        <v>52</v>
      </c>
      <c r="L29" s="6" t="s">
        <v>56</v>
      </c>
      <c r="M29" s="6" t="s">
        <v>96</v>
      </c>
    </row>
    <row r="30" spans="1:13" x14ac:dyDescent="0.25">
      <c r="G30" t="s">
        <v>97</v>
      </c>
      <c r="H30">
        <v>200</v>
      </c>
      <c r="I30">
        <v>2</v>
      </c>
      <c r="J30">
        <v>100</v>
      </c>
      <c r="K30">
        <v>2.4000000000000004</v>
      </c>
      <c r="L30">
        <v>0.14609501712594633</v>
      </c>
      <c r="M30">
        <v>4.2564947290937507</v>
      </c>
    </row>
    <row r="31" spans="1:13" x14ac:dyDescent="0.25">
      <c r="G31" t="s">
        <v>98</v>
      </c>
      <c r="H31">
        <v>375</v>
      </c>
      <c r="I31">
        <v>9</v>
      </c>
      <c r="J31">
        <v>41.666666666666664</v>
      </c>
    </row>
    <row r="33" spans="7:13" ht="15.75" thickBot="1" x14ac:dyDescent="0.3">
      <c r="G33" s="5" t="s">
        <v>47</v>
      </c>
      <c r="H33" s="5">
        <v>575</v>
      </c>
      <c r="I33" s="5">
        <v>11</v>
      </c>
      <c r="J33" s="5"/>
      <c r="K33" s="5"/>
      <c r="L33" s="5"/>
      <c r="M33"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CC998-AD0C-4E4F-B142-1BF75BFA47FA}">
  <dimension ref="A1:I20"/>
  <sheetViews>
    <sheetView workbookViewId="0">
      <selection activeCell="E17" sqref="E17"/>
    </sheetView>
  </sheetViews>
  <sheetFormatPr defaultRowHeight="15" x14ac:dyDescent="0.25"/>
  <cols>
    <col min="1" max="1" width="18.140625" customWidth="1"/>
    <col min="2" max="2" width="19.85546875" customWidth="1"/>
    <col min="3" max="3" width="16.42578125" customWidth="1"/>
    <col min="4" max="4" width="14.7109375" customWidth="1"/>
    <col min="6" max="6" width="15.5703125" customWidth="1"/>
  </cols>
  <sheetData>
    <row r="1" spans="1:9" ht="61.5" customHeight="1" x14ac:dyDescent="0.25">
      <c r="A1" s="43" t="s">
        <v>161</v>
      </c>
      <c r="B1" s="44"/>
      <c r="C1" s="44"/>
      <c r="D1" s="44"/>
      <c r="E1" s="44"/>
      <c r="I1" s="45" t="s">
        <v>154</v>
      </c>
    </row>
    <row r="2" spans="1:9" ht="30" customHeight="1" x14ac:dyDescent="0.25">
      <c r="A2" s="4"/>
      <c r="B2" s="41" t="s">
        <v>150</v>
      </c>
      <c r="C2" s="42" t="s">
        <v>151</v>
      </c>
      <c r="D2" s="41" t="s">
        <v>152</v>
      </c>
      <c r="E2" s="4" t="s">
        <v>157</v>
      </c>
      <c r="G2" s="39" t="s">
        <v>149</v>
      </c>
    </row>
    <row r="3" spans="1:9" ht="27" customHeight="1" x14ac:dyDescent="0.25">
      <c r="A3" s="40" t="s">
        <v>153</v>
      </c>
      <c r="B3" s="41">
        <v>1000</v>
      </c>
      <c r="C3" s="42">
        <v>500</v>
      </c>
      <c r="D3" s="41">
        <v>300</v>
      </c>
      <c r="E3" s="4"/>
      <c r="G3" s="50" t="s">
        <v>166</v>
      </c>
    </row>
    <row r="4" spans="1:9" ht="28.5" customHeight="1" x14ac:dyDescent="0.25">
      <c r="A4" s="40" t="s">
        <v>155</v>
      </c>
      <c r="B4" s="41">
        <v>15</v>
      </c>
      <c r="C4" s="42">
        <v>8</v>
      </c>
      <c r="D4" s="41">
        <v>5</v>
      </c>
      <c r="E4" s="4"/>
      <c r="G4">
        <v>1</v>
      </c>
      <c r="H4" s="11" t="s">
        <v>164</v>
      </c>
    </row>
    <row r="5" spans="1:9" x14ac:dyDescent="0.25">
      <c r="A5" s="4" t="s">
        <v>158</v>
      </c>
      <c r="B5" s="4">
        <v>10</v>
      </c>
      <c r="C5" s="4">
        <v>20</v>
      </c>
      <c r="D5" s="4">
        <v>30</v>
      </c>
      <c r="E5" s="4"/>
      <c r="G5">
        <v>2</v>
      </c>
      <c r="H5" s="11" t="s">
        <v>165</v>
      </c>
    </row>
    <row r="6" spans="1:9" ht="15.75" x14ac:dyDescent="0.25">
      <c r="A6" s="31" t="s">
        <v>159</v>
      </c>
      <c r="B6" s="49">
        <v>9.4999999999999982</v>
      </c>
      <c r="C6" s="49">
        <v>8</v>
      </c>
      <c r="D6" s="49">
        <v>5</v>
      </c>
      <c r="E6" s="31"/>
      <c r="G6">
        <v>3</v>
      </c>
      <c r="H6" s="46" t="s">
        <v>162</v>
      </c>
    </row>
    <row r="7" spans="1:9" ht="15.75" x14ac:dyDescent="0.25">
      <c r="A7" s="40" t="s">
        <v>156</v>
      </c>
      <c r="B7" s="4"/>
      <c r="C7" s="4"/>
      <c r="D7" s="4"/>
      <c r="E7" s="47">
        <f>B4*B6+C4*C6+D4*D6</f>
        <v>231.49999999999997</v>
      </c>
      <c r="G7">
        <v>4</v>
      </c>
      <c r="H7" s="46" t="s">
        <v>163</v>
      </c>
    </row>
    <row r="8" spans="1:9" x14ac:dyDescent="0.25">
      <c r="A8" s="40" t="s">
        <v>160</v>
      </c>
      <c r="B8" s="4"/>
      <c r="C8" s="4"/>
      <c r="D8" s="4"/>
      <c r="E8" s="48">
        <f>B3*B6 + C3*C6 + D3*D6</f>
        <v>14999.999999999998</v>
      </c>
      <c r="G8" s="50" t="s">
        <v>167</v>
      </c>
    </row>
    <row r="9" spans="1:9" x14ac:dyDescent="0.25">
      <c r="H9" s="10" t="s">
        <v>168</v>
      </c>
    </row>
    <row r="10" spans="1:9" x14ac:dyDescent="0.25">
      <c r="H10" s="10" t="s">
        <v>169</v>
      </c>
    </row>
    <row r="11" spans="1:9" x14ac:dyDescent="0.25">
      <c r="H11" s="10" t="s">
        <v>170</v>
      </c>
    </row>
    <row r="12" spans="1:9" x14ac:dyDescent="0.25">
      <c r="H12" s="10" t="s">
        <v>171</v>
      </c>
    </row>
    <row r="13" spans="1:9" ht="15.75" x14ac:dyDescent="0.25">
      <c r="A13" s="46" t="s">
        <v>162</v>
      </c>
      <c r="H13" s="10" t="s">
        <v>176</v>
      </c>
    </row>
    <row r="14" spans="1:9" ht="15.75" x14ac:dyDescent="0.25">
      <c r="A14" s="46" t="s">
        <v>163</v>
      </c>
      <c r="I14" t="s">
        <v>175</v>
      </c>
    </row>
    <row r="15" spans="1:9" x14ac:dyDescent="0.25">
      <c r="I15" t="s">
        <v>174</v>
      </c>
    </row>
    <row r="16" spans="1:9" x14ac:dyDescent="0.25">
      <c r="I16" t="s">
        <v>173</v>
      </c>
    </row>
    <row r="17" spans="8:9" x14ac:dyDescent="0.25">
      <c r="I17" t="s">
        <v>172</v>
      </c>
    </row>
    <row r="18" spans="8:9" x14ac:dyDescent="0.25">
      <c r="I18" t="s">
        <v>177</v>
      </c>
    </row>
    <row r="19" spans="8:9" x14ac:dyDescent="0.25">
      <c r="H19" s="10" t="s">
        <v>178</v>
      </c>
    </row>
    <row r="20" spans="8:9" x14ac:dyDescent="0.25">
      <c r="H20" s="10" t="s">
        <v>179</v>
      </c>
    </row>
  </sheetData>
  <scenarios current="0">
    <scenario name="поиск_решения _2" count="3" user="User" comment="Автор: User , 9/30/2025">
      <inputCells r="B6" val="0"/>
      <inputCells r="C6" val="0"/>
      <inputCells r="D6" val="0"/>
    </scenario>
  </scenario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0E6B-7F90-4203-8158-A87D6389A389}">
  <dimension ref="A1:R32"/>
  <sheetViews>
    <sheetView tabSelected="1" workbookViewId="0">
      <selection activeCell="L51" sqref="L51"/>
    </sheetView>
  </sheetViews>
  <sheetFormatPr defaultRowHeight="15" x14ac:dyDescent="0.25"/>
  <cols>
    <col min="1" max="1" width="25.42578125" customWidth="1"/>
  </cols>
  <sheetData>
    <row r="1" spans="1:12" ht="22.5" x14ac:dyDescent="0.45">
      <c r="K1" s="32" t="s">
        <v>125</v>
      </c>
    </row>
    <row r="2" spans="1:12" x14ac:dyDescent="0.25">
      <c r="A2" s="4" t="s">
        <v>105</v>
      </c>
      <c r="B2" s="4" t="s">
        <v>106</v>
      </c>
      <c r="C2" s="4" t="s">
        <v>107</v>
      </c>
      <c r="D2" s="4" t="s">
        <v>108</v>
      </c>
      <c r="E2" s="4" t="s">
        <v>109</v>
      </c>
      <c r="F2" s="4" t="s">
        <v>47</v>
      </c>
    </row>
    <row r="3" spans="1:12" x14ac:dyDescent="0.25">
      <c r="A3" s="4" t="s">
        <v>110</v>
      </c>
      <c r="B3" s="4">
        <v>0.9</v>
      </c>
      <c r="C3" s="4">
        <v>1.1000000000000001</v>
      </c>
      <c r="D3" s="4">
        <v>0.8</v>
      </c>
      <c r="E3" s="4">
        <v>1.2</v>
      </c>
      <c r="F3" s="4"/>
      <c r="J3" t="s">
        <v>126</v>
      </c>
    </row>
    <row r="4" spans="1:12" x14ac:dyDescent="0.25">
      <c r="A4" s="4"/>
      <c r="B4" s="4"/>
      <c r="C4" s="4"/>
      <c r="D4" s="4"/>
      <c r="E4" s="4"/>
      <c r="F4" s="4"/>
    </row>
    <row r="5" spans="1:12" x14ac:dyDescent="0.25">
      <c r="A5" s="38" t="s">
        <v>111</v>
      </c>
      <c r="B5" s="30">
        <f>35*B3*(B11+3000)^0.5</f>
        <v>1725.3260561412733</v>
      </c>
      <c r="C5" s="30">
        <f t="shared" ref="C5:F5" si="0">35*C3*(C11+3000)^0.5</f>
        <v>2108.7318463948895</v>
      </c>
      <c r="D5" s="30">
        <f t="shared" si="0"/>
        <v>1533.6231610144653</v>
      </c>
      <c r="E5" s="30">
        <f t="shared" si="0"/>
        <v>2300.4347415216976</v>
      </c>
      <c r="F5" s="30">
        <f>SUM(B5:E5)</f>
        <v>7668.1158050723261</v>
      </c>
      <c r="J5">
        <v>1</v>
      </c>
      <c r="K5" s="10" t="s">
        <v>127</v>
      </c>
    </row>
    <row r="6" spans="1:12" x14ac:dyDescent="0.25">
      <c r="A6" s="28" t="s">
        <v>112</v>
      </c>
      <c r="B6" s="4">
        <v>69013</v>
      </c>
      <c r="C6" s="4">
        <v>84349</v>
      </c>
      <c r="D6" s="4">
        <v>61345</v>
      </c>
      <c r="E6" s="4">
        <v>92017</v>
      </c>
      <c r="F6" s="4">
        <v>306725</v>
      </c>
      <c r="J6">
        <v>2</v>
      </c>
      <c r="K6" s="10" t="s">
        <v>128</v>
      </c>
    </row>
    <row r="7" spans="1:12" x14ac:dyDescent="0.25">
      <c r="A7" s="38" t="s">
        <v>113</v>
      </c>
      <c r="B7" s="30">
        <f>B6*0.625</f>
        <v>43133.125</v>
      </c>
      <c r="C7" s="30">
        <f t="shared" ref="C7:E7" si="1">C6*0.625</f>
        <v>52718.125</v>
      </c>
      <c r="D7" s="30">
        <f t="shared" si="1"/>
        <v>38340.625</v>
      </c>
      <c r="E7" s="30">
        <f t="shared" si="1"/>
        <v>57510.625</v>
      </c>
      <c r="F7" s="30">
        <f>SUM(B7:E7)</f>
        <v>191702.5</v>
      </c>
      <c r="J7">
        <v>3</v>
      </c>
      <c r="K7" s="10" t="s">
        <v>129</v>
      </c>
    </row>
    <row r="8" spans="1:12" x14ac:dyDescent="0.25">
      <c r="A8" s="38" t="s">
        <v>114</v>
      </c>
      <c r="B8" s="30">
        <f>B6-B7</f>
        <v>25879.875</v>
      </c>
      <c r="C8" s="30">
        <f t="shared" ref="C8:E8" si="2">C6-C7</f>
        <v>31630.875</v>
      </c>
      <c r="D8" s="30">
        <f t="shared" si="2"/>
        <v>23004.375</v>
      </c>
      <c r="E8" s="30">
        <f t="shared" si="2"/>
        <v>34506.375</v>
      </c>
      <c r="F8" s="30">
        <f>SUM(B8:E8)</f>
        <v>115021.5</v>
      </c>
      <c r="J8">
        <v>4</v>
      </c>
      <c r="K8" s="10" t="s">
        <v>135</v>
      </c>
    </row>
    <row r="9" spans="1:12" x14ac:dyDescent="0.25">
      <c r="A9" s="4"/>
      <c r="B9" s="4"/>
      <c r="C9" s="4"/>
      <c r="D9" s="4"/>
      <c r="E9" s="4"/>
      <c r="F9" s="4"/>
      <c r="K9" s="10"/>
      <c r="L9" t="s">
        <v>130</v>
      </c>
    </row>
    <row r="10" spans="1:12" x14ac:dyDescent="0.25">
      <c r="A10" s="4" t="s">
        <v>115</v>
      </c>
      <c r="B10" s="4">
        <v>8000</v>
      </c>
      <c r="C10" s="4">
        <v>8000</v>
      </c>
      <c r="D10" s="4">
        <v>9000</v>
      </c>
      <c r="E10" s="4">
        <v>9000</v>
      </c>
      <c r="F10" s="4">
        <v>34000</v>
      </c>
      <c r="K10" s="10"/>
      <c r="L10" t="s">
        <v>131</v>
      </c>
    </row>
    <row r="11" spans="1:12" x14ac:dyDescent="0.25">
      <c r="A11" s="29" t="s">
        <v>116</v>
      </c>
      <c r="B11" s="31">
        <v>0</v>
      </c>
      <c r="C11" s="31">
        <v>0</v>
      </c>
      <c r="D11" s="31">
        <v>0</v>
      </c>
      <c r="E11" s="31">
        <v>0</v>
      </c>
      <c r="F11" s="33">
        <v>0</v>
      </c>
      <c r="K11" s="10"/>
      <c r="L11" t="s">
        <v>136</v>
      </c>
    </row>
    <row r="12" spans="1:12" x14ac:dyDescent="0.25">
      <c r="A12" s="38" t="s">
        <v>117</v>
      </c>
      <c r="B12" s="30">
        <f xml:space="preserve"> 0.15*B6</f>
        <v>10351.949999999999</v>
      </c>
      <c r="C12" s="30">
        <f t="shared" ref="C12:E12" si="3" xml:space="preserve"> 0.15*C6</f>
        <v>12652.35</v>
      </c>
      <c r="D12" s="30">
        <f t="shared" si="3"/>
        <v>9201.75</v>
      </c>
      <c r="E12" s="30">
        <f t="shared" si="3"/>
        <v>13802.55</v>
      </c>
      <c r="F12" s="30">
        <f>SUM(B12:E12)</f>
        <v>46008.6</v>
      </c>
      <c r="J12">
        <v>5</v>
      </c>
      <c r="K12" s="10" t="s">
        <v>137</v>
      </c>
    </row>
    <row r="13" spans="1:12" x14ac:dyDescent="0.25">
      <c r="A13" s="28" t="s">
        <v>118</v>
      </c>
      <c r="B13" s="30">
        <f>SUM(B10:B12)</f>
        <v>18351.949999999997</v>
      </c>
      <c r="C13" s="30">
        <f t="shared" ref="C13:E13" si="4">SUM(C10:C12)</f>
        <v>20652.349999999999</v>
      </c>
      <c r="D13" s="30">
        <f t="shared" si="4"/>
        <v>18201.75</v>
      </c>
      <c r="E13" s="30">
        <f t="shared" si="4"/>
        <v>22802.55</v>
      </c>
      <c r="F13" s="30">
        <f>SUM(B13:E13)</f>
        <v>80008.599999999991</v>
      </c>
      <c r="K13" t="s">
        <v>140</v>
      </c>
    </row>
    <row r="14" spans="1:12" x14ac:dyDescent="0.25">
      <c r="A14" s="4"/>
      <c r="B14" s="4"/>
      <c r="C14" s="4"/>
      <c r="D14" s="4"/>
      <c r="E14" s="4"/>
      <c r="F14" s="4"/>
      <c r="L14" t="s">
        <v>141</v>
      </c>
    </row>
    <row r="15" spans="1:12" x14ac:dyDescent="0.25">
      <c r="A15" s="37" t="s">
        <v>119</v>
      </c>
      <c r="B15" s="36">
        <f>B8-B13</f>
        <v>7527.9250000000029</v>
      </c>
      <c r="C15" s="36">
        <f t="shared" ref="C15:E15" si="5">C8-C13</f>
        <v>10978.525000000001</v>
      </c>
      <c r="D15" s="36">
        <f t="shared" si="5"/>
        <v>4802.625</v>
      </c>
      <c r="E15" s="36">
        <f t="shared" si="5"/>
        <v>11703.825000000001</v>
      </c>
      <c r="F15" s="36">
        <f>SUM(B15:E15)</f>
        <v>35012.900000000009</v>
      </c>
    </row>
    <row r="16" spans="1:12" x14ac:dyDescent="0.25">
      <c r="A16" s="4" t="s">
        <v>120</v>
      </c>
      <c r="B16" s="27">
        <f>B15/B6</f>
        <v>0.10907981105009205</v>
      </c>
      <c r="C16" s="27">
        <f t="shared" ref="C16:F16" si="6">C15/C6</f>
        <v>0.13015595916964043</v>
      </c>
      <c r="D16" s="27">
        <f t="shared" si="6"/>
        <v>7.8288776591409245E-2</v>
      </c>
      <c r="E16" s="27">
        <f t="shared" si="6"/>
        <v>0.12719198626340786</v>
      </c>
      <c r="F16" s="27">
        <f t="shared" si="6"/>
        <v>0.11415078653516997</v>
      </c>
    </row>
    <row r="18" spans="1:18" x14ac:dyDescent="0.25">
      <c r="A18" s="4" t="s">
        <v>132</v>
      </c>
      <c r="B18" s="4">
        <v>40000</v>
      </c>
      <c r="Q18" s="35"/>
      <c r="R18" s="35"/>
    </row>
    <row r="19" spans="1:18" x14ac:dyDescent="0.25">
      <c r="A19" s="4" t="s">
        <v>122</v>
      </c>
      <c r="B19" s="4">
        <v>25000</v>
      </c>
      <c r="Q19" s="35"/>
      <c r="R19" s="35"/>
    </row>
    <row r="20" spans="1:18" x14ac:dyDescent="0.25">
      <c r="Q20" s="35"/>
      <c r="R20" s="35"/>
    </row>
    <row r="21" spans="1:18" x14ac:dyDescent="0.25">
      <c r="Q21" s="35"/>
      <c r="R21" s="35"/>
    </row>
    <row r="23" spans="1:18" x14ac:dyDescent="0.25">
      <c r="A23" s="10" t="s">
        <v>142</v>
      </c>
      <c r="B23" s="10" t="s">
        <v>123</v>
      </c>
      <c r="F23" s="10" t="s">
        <v>133</v>
      </c>
    </row>
    <row r="24" spans="1:18" x14ac:dyDescent="0.25">
      <c r="A24" s="10" t="s">
        <v>122</v>
      </c>
      <c r="B24" s="10" t="s">
        <v>147</v>
      </c>
      <c r="C24" s="10"/>
      <c r="D24" s="10"/>
      <c r="E24" s="10"/>
      <c r="F24" s="10" t="s">
        <v>148</v>
      </c>
      <c r="G24" s="10"/>
    </row>
    <row r="25" spans="1:18" x14ac:dyDescent="0.25">
      <c r="A25" s="10" t="s">
        <v>114</v>
      </c>
      <c r="B25" s="10" t="s">
        <v>138</v>
      </c>
      <c r="C25" s="10"/>
      <c r="D25" s="10"/>
      <c r="E25" s="10"/>
      <c r="F25" s="10" t="s">
        <v>139</v>
      </c>
    </row>
    <row r="27" spans="1:18" x14ac:dyDescent="0.25">
      <c r="A27" s="10" t="s">
        <v>117</v>
      </c>
      <c r="B27" s="10" t="s">
        <v>124</v>
      </c>
      <c r="F27" s="10" t="s">
        <v>134</v>
      </c>
    </row>
    <row r="28" spans="1:18" x14ac:dyDescent="0.25">
      <c r="A28" s="10" t="s">
        <v>118</v>
      </c>
      <c r="B28" s="10" t="s">
        <v>143</v>
      </c>
      <c r="C28" s="10"/>
      <c r="D28" s="10"/>
      <c r="E28" s="10"/>
      <c r="F28" s="10" t="s">
        <v>144</v>
      </c>
    </row>
    <row r="30" spans="1:18" x14ac:dyDescent="0.25">
      <c r="A30" s="10" t="s">
        <v>119</v>
      </c>
      <c r="B30" s="10" t="s">
        <v>145</v>
      </c>
      <c r="F30" s="10" t="s">
        <v>146</v>
      </c>
    </row>
    <row r="31" spans="1:18" x14ac:dyDescent="0.25">
      <c r="A31" s="10" t="s">
        <v>120</v>
      </c>
      <c r="B31" s="10" t="s">
        <v>180</v>
      </c>
    </row>
    <row r="32" spans="1:18" x14ac:dyDescent="0.25">
      <c r="A32" s="10"/>
      <c r="B32" s="10"/>
      <c r="D32" s="34"/>
      <c r="F32" s="1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описат_ст</vt:lpstr>
      <vt:lpstr>регрессия</vt:lpstr>
      <vt:lpstr>тест</vt:lpstr>
      <vt:lpstr>поиск_реш_2_чистый</vt:lpstr>
      <vt:lpstr>Поиск_реш_чист</vt:lpstr>
      <vt:lpstr>описат_ст-готов</vt:lpstr>
      <vt:lpstr>регрессия_готов</vt:lpstr>
      <vt:lpstr>тест_готов</vt:lpstr>
      <vt:lpstr>поиск_реш_2_готово_</vt:lpstr>
      <vt:lpstr>Поиск_реш_1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Людмила Герськина</dc:creator>
  <cp:lastModifiedBy>Людмила Герськина</cp:lastModifiedBy>
  <dcterms:created xsi:type="dcterms:W3CDTF">2025-09-22T23:21:36Z</dcterms:created>
  <dcterms:modified xsi:type="dcterms:W3CDTF">2025-09-29T21:56:32Z</dcterms:modified>
</cp:coreProperties>
</file>