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_doc\Чтение лекций_дом\курс с 10.09  по 5.11\8_Excel_4\"/>
    </mc:Choice>
  </mc:AlternateContent>
  <xr:revisionPtr revIDLastSave="0" documentId="13_ncr:1_{7ABD5E67-B080-4B8D-B584-3099ABC007C4}" xr6:coauthVersionLast="47" xr6:coauthVersionMax="47" xr10:uidLastSave="{00000000-0000-0000-0000-000000000000}"/>
  <bookViews>
    <workbookView xWindow="-120" yWindow="-120" windowWidth="29040" windowHeight="15990" tabRatio="867" activeTab="9" xr2:uid="{89E9594C-A976-4865-83B5-75C82E982C29}"/>
  </bookViews>
  <sheets>
    <sheet name="описат_ст" sheetId="1" r:id="rId1"/>
    <sheet name="регрессия" sheetId="2" r:id="rId2"/>
    <sheet name="тест" sheetId="3" r:id="rId3"/>
    <sheet name="Поиск_реш_1_чистое" sheetId="12" r:id="rId4"/>
    <sheet name="поиск_реш_2_чистый" sheetId="11" r:id="rId5"/>
    <sheet name="описат_ст-готов" sheetId="4" r:id="rId6"/>
    <sheet name="регрессия_готов" sheetId="5" r:id="rId7"/>
    <sheet name="тест_готов" sheetId="6" r:id="rId8"/>
    <sheet name="Поиск_реш_1_готово" sheetId="7" r:id="rId9"/>
    <sheet name="поиск_реш_2_готово_" sheetId="10" r:id="rId10"/>
  </sheets>
  <definedNames>
    <definedName name="solver_adj" localSheetId="8" hidden="1">Поиск_реш_1_готово!$B$11:$E$11</definedName>
    <definedName name="solver_adj" localSheetId="3" hidden="1">Поиск_реш_1_чистое!$B$11:$E$11</definedName>
    <definedName name="solver_adj" localSheetId="9" hidden="1">поиск_реш_2_готово_!$B$6,поиск_реш_2_готово_!$C$6,поиск_реш_2_готово_!$D$6</definedName>
    <definedName name="solver_adj" localSheetId="4" hidden="1">поиск_реш_2_чистый!$B$6,поиск_реш_2_чистый!$C$6,поиск_реш_2_чистый!$D$6</definedName>
    <definedName name="solver_cvg" localSheetId="8" hidden="1">0.0001</definedName>
    <definedName name="solver_cvg" localSheetId="3" hidden="1">0.0001</definedName>
    <definedName name="solver_cvg" localSheetId="9" hidden="1">0.0001</definedName>
    <definedName name="solver_cvg" localSheetId="4" hidden="1">0.0001</definedName>
    <definedName name="solver_drv" localSheetId="8" hidden="1">1</definedName>
    <definedName name="solver_drv" localSheetId="3" hidden="1">1</definedName>
    <definedName name="solver_drv" localSheetId="9" hidden="1">2</definedName>
    <definedName name="solver_drv" localSheetId="4" hidden="1">2</definedName>
    <definedName name="solver_eng" localSheetId="0" hidden="1">1</definedName>
    <definedName name="solver_eng" localSheetId="8" hidden="1">1</definedName>
    <definedName name="solver_eng" localSheetId="3" hidden="1">1</definedName>
    <definedName name="solver_eng" localSheetId="9" hidden="1">1</definedName>
    <definedName name="solver_eng" localSheetId="4" hidden="1">1</definedName>
    <definedName name="solver_est" localSheetId="8" hidden="1">1</definedName>
    <definedName name="solver_est" localSheetId="3" hidden="1">1</definedName>
    <definedName name="solver_est" localSheetId="9" hidden="1">1</definedName>
    <definedName name="solver_est" localSheetId="4" hidden="1">1</definedName>
    <definedName name="solver_itr" localSheetId="8" hidden="1">2147483647</definedName>
    <definedName name="solver_itr" localSheetId="3" hidden="1">2147483647</definedName>
    <definedName name="solver_itr" localSheetId="9" hidden="1">2147483647</definedName>
    <definedName name="solver_itr" localSheetId="4" hidden="1">2147483647</definedName>
    <definedName name="solver_lhs1" localSheetId="8" hidden="1">Поиск_реш_1_готово!$B$11:$E$11</definedName>
    <definedName name="solver_lhs1" localSheetId="3" hidden="1">Поиск_реш_1_чистое!$B$11:$E$11</definedName>
    <definedName name="solver_lhs1" localSheetId="9" hidden="1">поиск_реш_2_готово_!$B$6</definedName>
    <definedName name="solver_lhs1" localSheetId="4" hidden="1">поиск_реш_2_чистый!$B$6</definedName>
    <definedName name="solver_lhs2" localSheetId="8" hidden="1">Поиск_реш_1_готово!$F$11</definedName>
    <definedName name="solver_lhs2" localSheetId="3" hidden="1">Поиск_реш_1_чистое!$F$11</definedName>
    <definedName name="solver_lhs2" localSheetId="9" hidden="1">поиск_реш_2_готово_!$B$6:$D$6</definedName>
    <definedName name="solver_lhs2" localSheetId="4" hidden="1">поиск_реш_2_чистый!$B$6:$D$6</definedName>
    <definedName name="solver_lhs3" localSheetId="9" hidden="1">поиск_реш_2_готово_!$C$6</definedName>
    <definedName name="solver_lhs3" localSheetId="4" hidden="1">поиск_реш_2_чистый!$C$6</definedName>
    <definedName name="solver_lhs4" localSheetId="9" hidden="1">поиск_реш_2_готово_!$D$6</definedName>
    <definedName name="solver_lhs4" localSheetId="4" hidden="1">поиск_реш_2_чистый!$D$6</definedName>
    <definedName name="solver_lhs5" localSheetId="9" hidden="1">поиск_реш_2_готово_!$E$8</definedName>
    <definedName name="solver_lhs5" localSheetId="4" hidden="1">поиск_реш_2_чистый!$E$8</definedName>
    <definedName name="solver_mip" localSheetId="8" hidden="1">2147483647</definedName>
    <definedName name="solver_mip" localSheetId="3" hidden="1">2147483647</definedName>
    <definedName name="solver_mip" localSheetId="9" hidden="1">2147483647</definedName>
    <definedName name="solver_mip" localSheetId="4" hidden="1">2147483647</definedName>
    <definedName name="solver_mni" localSheetId="8" hidden="1">30</definedName>
    <definedName name="solver_mni" localSheetId="3" hidden="1">30</definedName>
    <definedName name="solver_mni" localSheetId="9" hidden="1">30</definedName>
    <definedName name="solver_mni" localSheetId="4" hidden="1">30</definedName>
    <definedName name="solver_mrt" localSheetId="8" hidden="1">0.075</definedName>
    <definedName name="solver_mrt" localSheetId="3" hidden="1">0.075</definedName>
    <definedName name="solver_mrt" localSheetId="9" hidden="1">0.075</definedName>
    <definedName name="solver_mrt" localSheetId="4" hidden="1">0.075</definedName>
    <definedName name="solver_msl" localSheetId="8" hidden="1">2</definedName>
    <definedName name="solver_msl" localSheetId="3" hidden="1">2</definedName>
    <definedName name="solver_msl" localSheetId="9" hidden="1">2</definedName>
    <definedName name="solver_msl" localSheetId="4" hidden="1">2</definedName>
    <definedName name="solver_neg" localSheetId="0" hidden="1">1</definedName>
    <definedName name="solver_neg" localSheetId="8" hidden="1">1</definedName>
    <definedName name="solver_neg" localSheetId="3" hidden="1">1</definedName>
    <definedName name="solver_neg" localSheetId="9" hidden="1">1</definedName>
    <definedName name="solver_neg" localSheetId="4" hidden="1">1</definedName>
    <definedName name="solver_nod" localSheetId="8" hidden="1">2147483647</definedName>
    <definedName name="solver_nod" localSheetId="3" hidden="1">2147483647</definedName>
    <definedName name="solver_nod" localSheetId="9" hidden="1">2147483647</definedName>
    <definedName name="solver_nod" localSheetId="4" hidden="1">2147483647</definedName>
    <definedName name="solver_num" localSheetId="0" hidden="1">0</definedName>
    <definedName name="solver_num" localSheetId="8" hidden="1">2</definedName>
    <definedName name="solver_num" localSheetId="3" hidden="1">2</definedName>
    <definedName name="solver_num" localSheetId="9" hidden="1">5</definedName>
    <definedName name="solver_num" localSheetId="4" hidden="1">5</definedName>
    <definedName name="solver_nwt" localSheetId="8" hidden="1">1</definedName>
    <definedName name="solver_nwt" localSheetId="3" hidden="1">1</definedName>
    <definedName name="solver_nwt" localSheetId="9" hidden="1">1</definedName>
    <definedName name="solver_nwt" localSheetId="4" hidden="1">1</definedName>
    <definedName name="solver_opt" localSheetId="0" hidden="1">описат_ст!$D$26</definedName>
    <definedName name="solver_opt" localSheetId="8" hidden="1">Поиск_реш_1_готово!$F$15</definedName>
    <definedName name="solver_opt" localSheetId="3" hidden="1">Поиск_реш_1_чистое!$B$15</definedName>
    <definedName name="solver_opt" localSheetId="9" hidden="1">поиск_реш_2_готово_!$E$7</definedName>
    <definedName name="solver_opt" localSheetId="4" hidden="1">поиск_реш_2_чистый!$E$7</definedName>
    <definedName name="solver_pre" localSheetId="8" hidden="1">0.000001</definedName>
    <definedName name="solver_pre" localSheetId="3" hidden="1">0.000001</definedName>
    <definedName name="solver_pre" localSheetId="9" hidden="1">0.000001</definedName>
    <definedName name="solver_pre" localSheetId="4" hidden="1">0.000001</definedName>
    <definedName name="solver_rbv" localSheetId="8" hidden="1">1</definedName>
    <definedName name="solver_rbv" localSheetId="3" hidden="1">1</definedName>
    <definedName name="solver_rbv" localSheetId="9" hidden="1">2</definedName>
    <definedName name="solver_rbv" localSheetId="4" hidden="1">2</definedName>
    <definedName name="solver_rel1" localSheetId="8" hidden="1">3</definedName>
    <definedName name="solver_rel1" localSheetId="3" hidden="1">3</definedName>
    <definedName name="solver_rel1" localSheetId="9" hidden="1">1</definedName>
    <definedName name="solver_rel1" localSheetId="4" hidden="1">1</definedName>
    <definedName name="solver_rel2" localSheetId="8" hidden="1">1</definedName>
    <definedName name="solver_rel2" localSheetId="3" hidden="1">2</definedName>
    <definedName name="solver_rel2" localSheetId="9" hidden="1">3</definedName>
    <definedName name="solver_rel2" localSheetId="4" hidden="1">3</definedName>
    <definedName name="solver_rel3" localSheetId="9" hidden="1">1</definedName>
    <definedName name="solver_rel3" localSheetId="4" hidden="1">1</definedName>
    <definedName name="solver_rel4" localSheetId="9" hidden="1">1</definedName>
    <definedName name="solver_rel4" localSheetId="4" hidden="1">1</definedName>
    <definedName name="solver_rel5" localSheetId="9" hidden="1">1</definedName>
    <definedName name="solver_rel5" localSheetId="4" hidden="1">1</definedName>
    <definedName name="solver_rhs1" localSheetId="8" hidden="1">0</definedName>
    <definedName name="solver_rhs1" localSheetId="3" hidden="1">0</definedName>
    <definedName name="solver_rhs1" localSheetId="9" hidden="1">поиск_реш_2_готово_!$B$4</definedName>
    <definedName name="solver_rhs1" localSheetId="4" hidden="1">поиск_реш_2_чистый!$B$4</definedName>
    <definedName name="solver_rhs2" localSheetId="8" hidden="1">40000</definedName>
    <definedName name="solver_rhs2" localSheetId="3" hidden="1">40000</definedName>
    <definedName name="solver_rhs2" localSheetId="9" hidden="1">0</definedName>
    <definedName name="solver_rhs2" localSheetId="4" hidden="1">0</definedName>
    <definedName name="solver_rhs3" localSheetId="9" hidden="1">поиск_реш_2_готово_!$C$4</definedName>
    <definedName name="solver_rhs3" localSheetId="4" hidden="1">поиск_реш_2_чистый!$C$4</definedName>
    <definedName name="solver_rhs4" localSheetId="9" hidden="1">поиск_реш_2_готово_!$D$4</definedName>
    <definedName name="solver_rhs4" localSheetId="4" hidden="1">поиск_реш_2_чистый!$D$4</definedName>
    <definedName name="solver_rhs5" localSheetId="9" hidden="1">15000</definedName>
    <definedName name="solver_rhs5" localSheetId="4" hidden="1">15000</definedName>
    <definedName name="solver_rlx" localSheetId="8" hidden="1">2</definedName>
    <definedName name="solver_rlx" localSheetId="3" hidden="1">2</definedName>
    <definedName name="solver_rlx" localSheetId="9" hidden="1">2</definedName>
    <definedName name="solver_rlx" localSheetId="4" hidden="1">2</definedName>
    <definedName name="solver_rsd" localSheetId="8" hidden="1">0</definedName>
    <definedName name="solver_rsd" localSheetId="3" hidden="1">0</definedName>
    <definedName name="solver_rsd" localSheetId="9" hidden="1">0</definedName>
    <definedName name="solver_rsd" localSheetId="4" hidden="1">0</definedName>
    <definedName name="solver_scl" localSheetId="8" hidden="1">1</definedName>
    <definedName name="solver_scl" localSheetId="3" hidden="1">1</definedName>
    <definedName name="solver_scl" localSheetId="9" hidden="1">2</definedName>
    <definedName name="solver_scl" localSheetId="4" hidden="1">2</definedName>
    <definedName name="solver_sho" localSheetId="8" hidden="1">2</definedName>
    <definedName name="solver_sho" localSheetId="3" hidden="1">2</definedName>
    <definedName name="solver_sho" localSheetId="9" hidden="1">2</definedName>
    <definedName name="solver_sho" localSheetId="4" hidden="1">2</definedName>
    <definedName name="solver_ssz" localSheetId="8" hidden="1">100</definedName>
    <definedName name="solver_ssz" localSheetId="3" hidden="1">100</definedName>
    <definedName name="solver_ssz" localSheetId="9" hidden="1">100</definedName>
    <definedName name="solver_ssz" localSheetId="4" hidden="1">100</definedName>
    <definedName name="solver_tim" localSheetId="8" hidden="1">2147483647</definedName>
    <definedName name="solver_tim" localSheetId="3" hidden="1">2147483647</definedName>
    <definedName name="solver_tim" localSheetId="9" hidden="1">2147483647</definedName>
    <definedName name="solver_tim" localSheetId="4" hidden="1">2147483647</definedName>
    <definedName name="solver_tol" localSheetId="8" hidden="1">0.01</definedName>
    <definedName name="solver_tol" localSheetId="3" hidden="1">0.01</definedName>
    <definedName name="solver_tol" localSheetId="9" hidden="1">0.01</definedName>
    <definedName name="solver_tol" localSheetId="4" hidden="1">0.01</definedName>
    <definedName name="solver_typ" localSheetId="0" hidden="1">1</definedName>
    <definedName name="solver_typ" localSheetId="8" hidden="1">1</definedName>
    <definedName name="solver_typ" localSheetId="3" hidden="1">1</definedName>
    <definedName name="solver_typ" localSheetId="9" hidden="1">1</definedName>
    <definedName name="solver_typ" localSheetId="4" hidden="1">1</definedName>
    <definedName name="solver_val" localSheetId="0" hidden="1">0</definedName>
    <definedName name="solver_val" localSheetId="8" hidden="1">0</definedName>
    <definedName name="solver_val" localSheetId="3" hidden="1">0</definedName>
    <definedName name="solver_val" localSheetId="9" hidden="1">0</definedName>
    <definedName name="solver_val" localSheetId="4" hidden="1">0</definedName>
    <definedName name="solver_ver" localSheetId="0" hidden="1">3</definedName>
    <definedName name="solver_ver" localSheetId="8" hidden="1">3</definedName>
    <definedName name="solver_ver" localSheetId="3" hidden="1">3</definedName>
    <definedName name="solver_ver" localSheetId="9" hidden="1">3</definedName>
    <definedName name="solver_ver" localSheetId="4" hidden="1">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2" l="1"/>
  <c r="F11" i="7"/>
  <c r="E5" i="12" l="1"/>
  <c r="E6" i="12" s="1"/>
  <c r="D5" i="12"/>
  <c r="D6" i="12" s="1"/>
  <c r="C5" i="12"/>
  <c r="C7" i="12" s="1"/>
  <c r="B5" i="12"/>
  <c r="B7" i="12" s="1"/>
  <c r="E7" i="10"/>
  <c r="E8" i="10"/>
  <c r="E8" i="11"/>
  <c r="E7" i="11"/>
  <c r="B5" i="7"/>
  <c r="B7" i="7" s="1"/>
  <c r="C5" i="7"/>
  <c r="C7" i="7" s="1"/>
  <c r="D5" i="7"/>
  <c r="D7" i="7" s="1"/>
  <c r="E5" i="7"/>
  <c r="E7" i="7" s="1"/>
  <c r="B6" i="7" l="1"/>
  <c r="C6" i="7"/>
  <c r="F7" i="7" s="1"/>
  <c r="E6" i="7"/>
  <c r="E12" i="7" s="1"/>
  <c r="E13" i="7" s="1"/>
  <c r="D6" i="7"/>
  <c r="D12" i="7" s="1"/>
  <c r="D13" i="7" s="1"/>
  <c r="D12" i="12"/>
  <c r="D13" i="12" s="1"/>
  <c r="E12" i="12"/>
  <c r="E13" i="12" s="1"/>
  <c r="F5" i="12"/>
  <c r="B6" i="12"/>
  <c r="C6" i="12"/>
  <c r="D7" i="12"/>
  <c r="F7" i="12" s="1"/>
  <c r="E7" i="12"/>
  <c r="E8" i="12" s="1"/>
  <c r="E15" i="12" s="1"/>
  <c r="E16" i="12" s="1"/>
  <c r="F5" i="7"/>
  <c r="C8" i="7" l="1"/>
  <c r="C12" i="7"/>
  <c r="B12" i="7"/>
  <c r="B13" i="7" s="1"/>
  <c r="F6" i="7"/>
  <c r="D8" i="7"/>
  <c r="D15" i="7" s="1"/>
  <c r="D16" i="7" s="1"/>
  <c r="E8" i="7"/>
  <c r="E15" i="7" s="1"/>
  <c r="E16" i="7" s="1"/>
  <c r="C8" i="12"/>
  <c r="C12" i="12"/>
  <c r="C13" i="12" s="1"/>
  <c r="B8" i="12"/>
  <c r="F6" i="12"/>
  <c r="B12" i="12"/>
  <c r="D8" i="12"/>
  <c r="D15" i="12" s="1"/>
  <c r="D16" i="12" s="1"/>
  <c r="C13" i="7"/>
  <c r="F12" i="7" l="1"/>
  <c r="B13" i="12"/>
  <c r="F13" i="12" s="1"/>
  <c r="F12" i="12"/>
  <c r="F8" i="12"/>
  <c r="C15" i="12"/>
  <c r="C16" i="12" s="1"/>
  <c r="C15" i="7"/>
  <c r="C16" i="7" s="1"/>
  <c r="F13" i="7"/>
  <c r="B15" i="12" l="1"/>
  <c r="B16" i="12" l="1"/>
  <c r="F15" i="12"/>
  <c r="F16" i="12" s="1"/>
  <c r="B8" i="7"/>
  <c r="B15" i="7" s="1"/>
  <c r="B16" i="7" s="1"/>
  <c r="F8" i="7" l="1"/>
  <c r="F15" i="7"/>
  <c r="F16" i="7" s="1"/>
</calcChain>
</file>

<file path=xl/sharedStrings.xml><?xml version="1.0" encoding="utf-8"?>
<sst xmlns="http://schemas.openxmlformats.org/spreadsheetml/2006/main" count="335" uniqueCount="184">
  <si>
    <t>Способ активации надстройки “Анализ данных”:</t>
  </si>
  <si>
    <t>Файл -&gt; Параметры -&gt; Надстройки.</t>
  </si>
  <si>
    <t xml:space="preserve">  </t>
  </si>
  <si>
    <t>Зарплата</t>
  </si>
  <si>
    <t>Столбец1</t>
  </si>
  <si>
    <t>Среднее</t>
  </si>
  <si>
    <t>Стандартная ошибка</t>
  </si>
  <si>
    <t>Медиана</t>
  </si>
  <si>
    <t>Мода</t>
  </si>
  <si>
    <t>Стандартное отклонение</t>
  </si>
  <si>
    <t>Дисперсия выборки</t>
  </si>
  <si>
    <t>Эксцесс</t>
  </si>
  <si>
    <t>Асимметричность</t>
  </si>
  <si>
    <t>Интервал</t>
  </si>
  <si>
    <t>Минимум</t>
  </si>
  <si>
    <t>Максимум</t>
  </si>
  <si>
    <t>Сумма</t>
  </si>
  <si>
    <t>Счет</t>
  </si>
  <si>
    <t>Использование инструмента “Описательная статистика”:</t>
  </si>
  <si>
    <t>выберите Описательная статистика-OK</t>
  </si>
  <si>
    <t>Данные -&gt; группа Анализ-&gt; Анализ данных</t>
  </si>
  <si>
    <t xml:space="preserve">выходной диапазон -место, где нужно разместить результаты </t>
  </si>
  <si>
    <r>
      <t>В окне укажите</t>
    </r>
    <r>
      <rPr>
        <b/>
        <sz val="11"/>
        <color rgb="FF0070C0"/>
        <rFont val="Times New Roman"/>
        <family val="1"/>
        <charset val="204"/>
      </rPr>
      <t xml:space="preserve"> входной интервал-диапазон ячеек с данными</t>
    </r>
  </si>
  <si>
    <r>
      <t>В списке</t>
    </r>
    <r>
      <rPr>
        <b/>
        <sz val="11"/>
        <color rgb="FF0070C0"/>
        <rFont val="Times New Roman"/>
        <family val="1"/>
        <charset val="204"/>
      </rPr>
      <t xml:space="preserve"> Управление-Надстройки Excel-Перейти</t>
    </r>
  </si>
  <si>
    <r>
      <t>Установите</t>
    </r>
    <r>
      <rPr>
        <b/>
        <sz val="11"/>
        <color rgb="FF0070C0"/>
        <rFont val="Times New Roman"/>
        <family val="1"/>
        <charset val="204"/>
      </rPr>
      <t xml:space="preserve"> флажок </t>
    </r>
    <r>
      <rPr>
        <sz val="11"/>
        <color rgb="FF0070C0"/>
        <rFont val="Times New Roman"/>
        <family val="1"/>
        <charset val="204"/>
      </rPr>
      <t xml:space="preserve">на </t>
    </r>
    <r>
      <rPr>
        <b/>
        <sz val="11"/>
        <color rgb="FF0070C0"/>
        <rFont val="Times New Roman"/>
        <family val="1"/>
        <charset val="204"/>
      </rPr>
      <t>Пакет анализа-OK</t>
    </r>
  </si>
  <si>
    <r>
      <t xml:space="preserve">Вкладка </t>
    </r>
    <r>
      <rPr>
        <b/>
        <sz val="11"/>
        <color rgb="FF0070C0"/>
        <rFont val="Times New Roman"/>
        <family val="1"/>
        <charset val="204"/>
      </rPr>
      <t>“Данные” -&gt; группа “Анализ” -&gt; “Анализ данных” должна появиться.</t>
    </r>
  </si>
  <si>
    <r>
      <t xml:space="preserve">флажок </t>
    </r>
    <r>
      <rPr>
        <b/>
        <sz val="11"/>
        <color rgb="FF0070C0"/>
        <rFont val="Times New Roman"/>
        <family val="1"/>
        <charset val="204"/>
      </rPr>
      <t>Итоговая статистика -OK. </t>
    </r>
  </si>
  <si>
    <t>Расходы на рекламу (X)</t>
  </si>
  <si>
    <t>Объем продаж (Y)</t>
  </si>
  <si>
    <t>Использование инструмента “Регрессия”:</t>
  </si>
  <si>
    <t xml:space="preserve">входной X-интервал (диапазон ячеек с независимой переменной), </t>
  </si>
  <si>
    <t xml:space="preserve">выходной диапазон (место, где нужно разместить результаты) </t>
  </si>
  <si>
    <t>и флажки напротив нужных параметров (например, “Линейная подгонка”, “Остатки”). -OK. </t>
  </si>
  <si>
    <r>
      <t xml:space="preserve">Данные-&gt; группа “Анализ-&gt; “Анализ данных” -&gt; </t>
    </r>
    <r>
      <rPr>
        <sz val="12"/>
        <color rgb="FF0070C0"/>
        <rFont val="Times New Roman"/>
        <family val="1"/>
        <charset val="204"/>
      </rPr>
      <t xml:space="preserve">выберите </t>
    </r>
    <r>
      <rPr>
        <b/>
        <sz val="12"/>
        <color rgb="FF0070C0"/>
        <rFont val="Times New Roman"/>
        <family val="1"/>
        <charset val="204"/>
      </rPr>
      <t>“Регрессия” - “OK”.</t>
    </r>
  </si>
  <si>
    <r>
      <t>выберите “</t>
    </r>
    <r>
      <rPr>
        <b/>
        <sz val="11"/>
        <color rgb="FF0070C0"/>
        <rFont val="Calibri"/>
        <family val="2"/>
        <charset val="204"/>
        <scheme val="minor"/>
      </rPr>
      <t>Регрессия” - “OK”.</t>
    </r>
  </si>
  <si>
    <r>
      <t>В окне -входной Y-интервал (</t>
    </r>
    <r>
      <rPr>
        <sz val="12"/>
        <color rgb="FF0070C0"/>
        <rFont val="Times New Roman"/>
        <family val="1"/>
        <charset val="204"/>
      </rPr>
      <t>диапазон ячеек с зависимой переменной)</t>
    </r>
  </si>
  <si>
    <t>(коэффициенты регрессии, R-квадрат, стандартные ошибки, t-статистики, p-значения и т.д.).</t>
  </si>
  <si>
    <t>Excel отобразит таблицу с результатами регрессионного анализа</t>
  </si>
  <si>
    <t>ВЫВОД ИТОГОВ</t>
  </si>
  <si>
    <t>Регрессионная статистика</t>
  </si>
  <si>
    <t>Множественный R</t>
  </si>
  <si>
    <t>R-квадрат</t>
  </si>
  <si>
    <t>Нормированный R-квадрат</t>
  </si>
  <si>
    <t>Наблюдения</t>
  </si>
  <si>
    <t>Дисперсионный анализ</t>
  </si>
  <si>
    <t>Регрессия</t>
  </si>
  <si>
    <t>Остаток</t>
  </si>
  <si>
    <t>Итого</t>
  </si>
  <si>
    <t>Y-пересечение</t>
  </si>
  <si>
    <t>df</t>
  </si>
  <si>
    <t>SS</t>
  </si>
  <si>
    <t>MS</t>
  </si>
  <si>
    <t>F</t>
  </si>
  <si>
    <t>Значимость F</t>
  </si>
  <si>
    <t>Коэффициенты</t>
  </si>
  <si>
    <t>t-статистика</t>
  </si>
  <si>
    <t>P-Значение</t>
  </si>
  <si>
    <t>Нижние 95%</t>
  </si>
  <si>
    <t>Верхние 95%</t>
  </si>
  <si>
    <t>Нижние 95,0%</t>
  </si>
  <si>
    <t>Верхние 95,0%</t>
  </si>
  <si>
    <t>Переменная X 1</t>
  </si>
  <si>
    <t>ВЫВОД ОСТАТКА</t>
  </si>
  <si>
    <t>Наблюдение</t>
  </si>
  <si>
    <t>Предсказанное Y</t>
  </si>
  <si>
    <t>Остатки</t>
  </si>
  <si>
    <t>Метод 1</t>
  </si>
  <si>
    <t>Метод 2</t>
  </si>
  <si>
    <t>цель Тестирование гипотез</t>
  </si>
  <si>
    <r>
      <t>t-тест:</t>
    </r>
    <r>
      <rPr>
        <sz val="12"/>
        <color rgb="FFC00000"/>
        <rFont val="Times New Roman"/>
        <family val="1"/>
        <charset val="204"/>
      </rPr>
      <t> </t>
    </r>
  </si>
  <si>
    <t>“Однофакторный дисперсионный анализ”) -OK.</t>
  </si>
  <si>
    <r>
      <t xml:space="preserve">Данные </t>
    </r>
    <r>
      <rPr>
        <sz val="12"/>
        <color rgb="FF0070C0"/>
        <rFont val="Times New Roman"/>
        <family val="1"/>
        <charset val="204"/>
      </rPr>
      <t>-&gt; группа Анализ -&gt;</t>
    </r>
    <r>
      <rPr>
        <b/>
        <sz val="12"/>
        <color rgb="FF0070C0"/>
        <rFont val="Times New Roman"/>
        <family val="1"/>
        <charset val="204"/>
      </rPr>
      <t xml:space="preserve"> Анализ данных -&gt; </t>
    </r>
    <r>
      <rPr>
        <sz val="12"/>
        <color rgb="FF0070C0"/>
        <rFont val="Times New Roman"/>
        <family val="1"/>
        <charset val="204"/>
      </rPr>
      <t>выберите нужный тип теста</t>
    </r>
    <r>
      <rPr>
        <b/>
        <sz val="12"/>
        <color rgb="FF0070C0"/>
        <rFont val="Times New Roman"/>
        <family val="1"/>
        <charset val="204"/>
      </rPr>
      <t xml:space="preserve"> </t>
    </r>
  </si>
  <si>
    <r>
      <t xml:space="preserve">В окне </t>
    </r>
    <r>
      <rPr>
        <sz val="12"/>
        <color rgb="FF0070C0"/>
        <rFont val="Times New Roman"/>
        <family val="1"/>
        <charset val="204"/>
      </rPr>
      <t xml:space="preserve">укажите </t>
    </r>
    <r>
      <rPr>
        <b/>
        <sz val="12"/>
        <color rgb="FF0070C0"/>
        <rFont val="Times New Roman"/>
        <family val="1"/>
        <charset val="204"/>
      </rPr>
      <t>входные диапазоны</t>
    </r>
  </si>
  <si>
    <t>Парный двухвыборочный t-тест для средних</t>
  </si>
  <si>
    <t>Переменная 1</t>
  </si>
  <si>
    <t>Переменная 2</t>
  </si>
  <si>
    <t>Дисперсия</t>
  </si>
  <si>
    <t>Корреляция Пирсона</t>
  </si>
  <si>
    <t>Гипотетическая разность средних</t>
  </si>
  <si>
    <t>P(T&lt;=t) одностороннее</t>
  </si>
  <si>
    <t>t критическое одностороннее</t>
  </si>
  <si>
    <t>P(T&lt;=t) двухстороннее</t>
  </si>
  <si>
    <t>t критическое двухстороннее</t>
  </si>
  <si>
    <t>Сорт 1</t>
  </si>
  <si>
    <t>Сорт 2</t>
  </si>
  <si>
    <t>Сорт 3</t>
  </si>
  <si>
    <t>ANOVA</t>
  </si>
  <si>
    <t>Парный двухвыборочный t-тест для средних-JR</t>
  </si>
  <si>
    <t>параметры теста (альфа= 0.05 или 0.01) и выходной диапазон- OK. </t>
  </si>
  <si>
    <t>Однофакторный дисперсионный анализ</t>
  </si>
  <si>
    <t>ИТОГИ</t>
  </si>
  <si>
    <t>Группы</t>
  </si>
  <si>
    <t>Столбец 1</t>
  </si>
  <si>
    <t>Столбец 2</t>
  </si>
  <si>
    <t>Столбец 3</t>
  </si>
  <si>
    <t>Источник вариации</t>
  </si>
  <si>
    <t>F критическое</t>
  </si>
  <si>
    <t>Между группами</t>
  </si>
  <si>
    <t>Внутри групп</t>
  </si>
  <si>
    <r>
      <t>В окне укажите</t>
    </r>
    <r>
      <rPr>
        <b/>
        <sz val="11"/>
        <color rgb="FF0070C0"/>
        <rFont val="Times New Roman"/>
        <family val="1"/>
        <charset val="204"/>
      </rPr>
      <t xml:space="preserve"> входной интервал-диапазон ячеек с данными ($A$2:$A$6)</t>
    </r>
  </si>
  <si>
    <t>выходной диапазон -место, где нужно разместить результаты ($A$9)</t>
  </si>
  <si>
    <t>выходной диапазон (место, где нужно разместить результаты) ($A$17)</t>
  </si>
  <si>
    <r>
      <t>В окне -входной Y-интервал (</t>
    </r>
    <r>
      <rPr>
        <sz val="12"/>
        <color rgb="FF0070C0"/>
        <rFont val="Times New Roman"/>
        <family val="1"/>
        <charset val="204"/>
      </rPr>
      <t>диапазон ячеек с зависимой переменной)(B2:B5)</t>
    </r>
  </si>
  <si>
    <t>ANOVA: сорт1,2,3</t>
  </si>
  <si>
    <t>t-тест:  метод1,2</t>
  </si>
  <si>
    <t xml:space="preserve">Месяц </t>
  </si>
  <si>
    <t>янв</t>
  </si>
  <si>
    <t>фев</t>
  </si>
  <si>
    <t>март</t>
  </si>
  <si>
    <t>апр</t>
  </si>
  <si>
    <t>сезонность</t>
  </si>
  <si>
    <t>Объем продаж,шт</t>
  </si>
  <si>
    <t>Объем продаж.руб</t>
  </si>
  <si>
    <t>Себестоимость</t>
  </si>
  <si>
    <t>Валовый доход</t>
  </si>
  <si>
    <t>коммерческие расходы</t>
  </si>
  <si>
    <t>реклама</t>
  </si>
  <si>
    <t>накладные расходы</t>
  </si>
  <si>
    <t>валовые затраты</t>
  </si>
  <si>
    <t>прибыль</t>
  </si>
  <si>
    <t>рентабельность</t>
  </si>
  <si>
    <t>себестоимость</t>
  </si>
  <si>
    <t>"=35*B3*(B11+3000)^0,5</t>
  </si>
  <si>
    <t>"= 0.15*B6</t>
  </si>
  <si>
    <t>цель : поиск решения</t>
  </si>
  <si>
    <t>максимизировать Прибыль</t>
  </si>
  <si>
    <t>Данные- Поиск решения</t>
  </si>
  <si>
    <t>изменяя ячейки = (B11 :E11)</t>
  </si>
  <si>
    <t>добавить  B11 :E11&gt;=0</t>
  </si>
  <si>
    <t>добавить F11=40000</t>
  </si>
  <si>
    <t>цена рекламы(F11 &lt;40000)</t>
  </si>
  <si>
    <t>"=СУММ(B5:E5)</t>
  </si>
  <si>
    <t>"=СУММ(B12:E12)</t>
  </si>
  <si>
    <t>Ограничения</t>
  </si>
  <si>
    <t>ок</t>
  </si>
  <si>
    <t>выполнить</t>
  </si>
  <si>
    <t>"=B6-B7</t>
  </si>
  <si>
    <t>"=СУММ(B8:E8)</t>
  </si>
  <si>
    <t>решение найдено</t>
  </si>
  <si>
    <t>автоматом заполнится реклама</t>
  </si>
  <si>
    <t>Объем продаж.шт.</t>
  </si>
  <si>
    <t>"=СУММ(B10:B12)</t>
  </si>
  <si>
    <t>"=СУММ(B13:E13)</t>
  </si>
  <si>
    <t>"=B8-B13</t>
  </si>
  <si>
    <t>"=СУММ(B15:E15)</t>
  </si>
  <si>
    <t>"=СУММ(B7:E7)</t>
  </si>
  <si>
    <t>оптимизация рекламного бюджета</t>
  </si>
  <si>
    <t>ТВ-реклама</t>
  </si>
  <si>
    <t>Интернет-реклама</t>
  </si>
  <si>
    <t>Реклама в печати</t>
  </si>
  <si>
    <t>Стоимость (руб/ед.)</t>
  </si>
  <si>
    <t>цель поиск решения пример2</t>
  </si>
  <si>
    <t>Эффек-ть (об. продаж /ед. рекл.)</t>
  </si>
  <si>
    <t>общ.обьем</t>
  </si>
  <si>
    <t>Общее</t>
  </si>
  <si>
    <t>макс. Кол-во</t>
  </si>
  <si>
    <t>ко-во ед.</t>
  </si>
  <si>
    <t>общая стоимость</t>
  </si>
  <si>
    <t>Мы хотим распределить 15000 рублей рекламного бюджета между тремя каналами 
(ТВ, Интернет, Печать), чтобы получить как можно больше продаж, при этом учитывая, что на каждый канал есть 
ограничения по количеству единиц рекламы.</t>
  </si>
  <si>
    <r>
      <t>Общий объем продаж (E7): </t>
    </r>
    <r>
      <rPr>
        <sz val="10"/>
        <color rgb="FF0070C0"/>
        <rFont val="Times New Roman"/>
        <family val="1"/>
        <charset val="204"/>
      </rPr>
      <t>=B4*B6+C4*C6+D4*D6</t>
    </r>
  </si>
  <si>
    <t>Общая стоимость (E8): =B3*B6 + C3*C6 + D3*D6</t>
  </si>
  <si>
    <t>создаем таблицу где прописываем стоимость каждой рекламы</t>
  </si>
  <si>
    <t>кол-во  ед.-строка 6 (B6,C6,D6)проставляем нулями</t>
  </si>
  <si>
    <t>строим таблицу</t>
  </si>
  <si>
    <t>поиск решения</t>
  </si>
  <si>
    <t>Данные- поиск решения</t>
  </si>
  <si>
    <t>Оптимизировать  целевую  функцию  = E7</t>
  </si>
  <si>
    <t>точка максимум</t>
  </si>
  <si>
    <t>Изменяя ячейки переменных  = B6;C6;D6</t>
  </si>
  <si>
    <t>B6:D6 &gt;= 0</t>
  </si>
  <si>
    <t>D6 &lt;= D4</t>
  </si>
  <si>
    <t>C6 &lt;= C4</t>
  </si>
  <si>
    <t>B6 &lt;= B4</t>
  </si>
  <si>
    <t>В соотвествии с ограничениями-Добавить</t>
  </si>
  <si>
    <t>E8 &lt;= 15000</t>
  </si>
  <si>
    <t>найти решение</t>
  </si>
  <si>
    <t>найдет - Ок (может не найти в других случаях)</t>
  </si>
  <si>
    <t>"=B15/B6</t>
  </si>
  <si>
    <t>"=B5*$B$19</t>
  </si>
  <si>
    <t>"=B5*$B$18</t>
  </si>
  <si>
    <t>установить целевую ячейку= прибыль(F15)</t>
  </si>
  <si>
    <t>"=СУММ(B11:E11)</t>
  </si>
  <si>
    <t>добавить F11&lt;=40000</t>
  </si>
  <si>
    <t xml:space="preserve">оптимизация рекламного бюджета в пределах 15000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</si>
</sst>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_₽"/>
    <numFmt numFmtId="169" formatCode="#,##0.00\ _₽"/>
  </numFmts>
  <fonts count="28" x14ac:knownFonts="1">
    <font>
      <sz val="11"/>
      <color theme="1"/>
      <name val="Calibri"/>
      <family val="2"/>
      <charset val="204"/>
      <scheme val="minor"/>
    </font>
    <font>
      <b/>
      <sz val="11"/>
      <color theme="1"/>
      <name val="Calibri"/>
      <family val="2"/>
      <charset val="204"/>
      <scheme val="minor"/>
    </font>
    <font>
      <b/>
      <sz val="12"/>
      <color rgb="FFC00000"/>
      <name val="Times New Roman"/>
      <family val="1"/>
      <charset val="204"/>
    </font>
    <font>
      <sz val="12"/>
      <color rgb="FF212529"/>
      <name val="Times New Roman"/>
      <family val="1"/>
      <charset val="204"/>
    </font>
    <font>
      <b/>
      <sz val="12"/>
      <color rgb="FF0070C0"/>
      <name val="Times New Roman"/>
      <family val="1"/>
      <charset val="204"/>
    </font>
    <font>
      <sz val="12"/>
      <color rgb="FF0070C0"/>
      <name val="Times New Roman"/>
      <family val="1"/>
      <charset val="204"/>
    </font>
    <font>
      <i/>
      <sz val="11"/>
      <color theme="1"/>
      <name val="Calibri"/>
      <family val="2"/>
      <charset val="204"/>
      <scheme val="minor"/>
    </font>
    <font>
      <sz val="12"/>
      <color rgb="FFC00000"/>
      <name val="Times New Roman"/>
      <family val="1"/>
      <charset val="204"/>
    </font>
    <font>
      <sz val="11"/>
      <color rgb="FF0070C0"/>
      <name val="Calibri"/>
      <family val="2"/>
      <charset val="204"/>
      <scheme val="minor"/>
    </font>
    <font>
      <sz val="11"/>
      <color rgb="FF0070C0"/>
      <name val="Times New Roman"/>
      <family val="1"/>
      <charset val="204"/>
    </font>
    <font>
      <b/>
      <sz val="11"/>
      <color rgb="FF0070C0"/>
      <name val="Times New Roman"/>
      <family val="1"/>
      <charset val="204"/>
    </font>
    <font>
      <b/>
      <sz val="11"/>
      <color rgb="FF0070C0"/>
      <name val="Calibri"/>
      <family val="2"/>
      <charset val="204"/>
      <scheme val="minor"/>
    </font>
    <font>
      <i/>
      <sz val="10"/>
      <color theme="1"/>
      <name val="Times New Roman"/>
      <family val="1"/>
      <charset val="204"/>
    </font>
    <font>
      <sz val="10"/>
      <color theme="1"/>
      <name val="Times New Roman"/>
      <family val="1"/>
      <charset val="204"/>
    </font>
    <font>
      <i/>
      <sz val="8"/>
      <color theme="1"/>
      <name val="Times New Roman"/>
      <family val="1"/>
      <charset val="204"/>
    </font>
    <font>
      <b/>
      <sz val="16"/>
      <color theme="1"/>
      <name val="Arial Black"/>
      <family val="2"/>
      <charset val="204"/>
    </font>
    <font>
      <sz val="11"/>
      <color rgb="FFFF0000"/>
      <name val="Calibri"/>
      <family val="2"/>
      <charset val="204"/>
      <scheme val="minor"/>
    </font>
    <font>
      <b/>
      <sz val="14"/>
      <color theme="1"/>
      <name val="Arial Black"/>
      <family val="2"/>
      <charset val="204"/>
    </font>
    <font>
      <sz val="11"/>
      <color rgb="FFC00000"/>
      <name val="Calibri"/>
      <family val="2"/>
      <charset val="204"/>
      <scheme val="minor"/>
    </font>
    <font>
      <sz val="11"/>
      <color theme="5" tint="-0.249977111117893"/>
      <name val="Calibri"/>
      <family val="2"/>
      <charset val="204"/>
      <scheme val="minor"/>
    </font>
    <font>
      <sz val="11"/>
      <color rgb="FF212529"/>
      <name val="Times New Roman"/>
      <family val="1"/>
      <charset val="204"/>
    </font>
    <font>
      <sz val="10"/>
      <color rgb="FF212529"/>
      <name val="Times New Roman"/>
      <family val="1"/>
      <charset val="204"/>
    </font>
    <font>
      <sz val="14"/>
      <color theme="1"/>
      <name val="Arial Black"/>
      <family val="2"/>
      <charset val="204"/>
    </font>
    <font>
      <b/>
      <sz val="11"/>
      <color rgb="FFC00000"/>
      <name val="Times New Roman"/>
      <family val="1"/>
      <charset val="204"/>
    </font>
    <font>
      <sz val="10"/>
      <color rgb="FF0070C0"/>
      <name val="Times New Roman"/>
      <family val="1"/>
      <charset val="204"/>
    </font>
    <font>
      <b/>
      <sz val="11"/>
      <color rgb="FFC00000"/>
      <name val="Calibri"/>
      <family val="2"/>
      <charset val="204"/>
      <scheme val="minor"/>
    </font>
    <font>
      <b/>
      <sz val="11"/>
      <color rgb="FFC00000"/>
      <name val="Bahnschrift SemiBold"/>
      <family val="2"/>
      <charset val="204"/>
    </font>
    <font>
      <sz val="11"/>
      <color theme="4"/>
      <name val="Calibri"/>
      <family val="2"/>
      <charset val="204"/>
      <scheme val="minor"/>
    </font>
  </fonts>
  <fills count="7">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6F8FA"/>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5">
    <xf numFmtId="0" fontId="0" fillId="0" borderId="0" xfId="0"/>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0" fillId="0" borderId="1" xfId="0" applyBorder="1"/>
    <xf numFmtId="0" fontId="0" fillId="0" borderId="2" xfId="0" applyBorder="1"/>
    <xf numFmtId="0" fontId="6" fillId="0" borderId="3" xfId="0" applyFont="1" applyBorder="1" applyAlignment="1">
      <alignment horizontal="center"/>
    </xf>
    <xf numFmtId="0" fontId="6" fillId="0" borderId="3" xfId="0" applyFont="1" applyBorder="1" applyAlignment="1">
      <alignment horizontal="centerContinuous"/>
    </xf>
    <xf numFmtId="0" fontId="3" fillId="0" borderId="0" xfId="0" applyFont="1" applyAlignment="1">
      <alignment horizontal="left" vertical="top"/>
    </xf>
    <xf numFmtId="0" fontId="4" fillId="0" borderId="0" xfId="0" applyFont="1" applyAlignment="1">
      <alignment horizontal="left" vertical="top"/>
    </xf>
    <xf numFmtId="0" fontId="8" fillId="0" borderId="0" xfId="0" applyFont="1"/>
    <xf numFmtId="0" fontId="9" fillId="0" borderId="0" xfId="0" applyFont="1"/>
    <xf numFmtId="0" fontId="10"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vertical="center" indent="1"/>
    </xf>
    <xf numFmtId="0" fontId="9" fillId="0" borderId="0" xfId="0" applyFont="1" applyAlignment="1">
      <alignment horizontal="left" vertical="center" indent="1"/>
    </xf>
    <xf numFmtId="0" fontId="1" fillId="0" borderId="1" xfId="0" applyFont="1" applyBorder="1"/>
    <xf numFmtId="0" fontId="0" fillId="0" borderId="1" xfId="0" applyBorder="1" applyAlignment="1">
      <alignment horizontal="left" vertical="top"/>
    </xf>
    <xf numFmtId="0" fontId="1" fillId="0" borderId="1" xfId="0" applyFont="1" applyBorder="1" applyAlignment="1">
      <alignment horizontal="left" vertical="top" wrapText="1"/>
    </xf>
    <xf numFmtId="0" fontId="4" fillId="0" borderId="0" xfId="0" applyFont="1" applyAlignment="1">
      <alignment horizontal="left"/>
    </xf>
    <xf numFmtId="0" fontId="12" fillId="0" borderId="3" xfId="0" applyFont="1" applyBorder="1" applyAlignment="1">
      <alignment horizontal="centerContinuous"/>
    </xf>
    <xf numFmtId="0" fontId="13" fillId="0" borderId="0" xfId="0" applyFont="1"/>
    <xf numFmtId="0" fontId="13" fillId="0" borderId="2" xfId="0" applyFont="1" applyBorder="1"/>
    <xf numFmtId="0" fontId="12" fillId="0" borderId="3" xfId="0" applyFont="1" applyBorder="1" applyAlignment="1">
      <alignment horizontal="center"/>
    </xf>
    <xf numFmtId="0" fontId="14" fillId="0" borderId="3" xfId="0" applyFont="1" applyBorder="1" applyAlignment="1">
      <alignment horizontal="center"/>
    </xf>
    <xf numFmtId="0" fontId="15" fillId="0" borderId="0" xfId="0" applyFont="1"/>
    <xf numFmtId="0" fontId="2" fillId="0" borderId="0" xfId="0" applyFont="1"/>
    <xf numFmtId="9" fontId="0" fillId="0" borderId="1" xfId="0" applyNumberFormat="1" applyBorder="1"/>
    <xf numFmtId="0" fontId="16" fillId="0" borderId="1" xfId="0" applyFont="1" applyBorder="1"/>
    <xf numFmtId="0" fontId="8" fillId="0" borderId="1" xfId="0" applyFont="1" applyBorder="1"/>
    <xf numFmtId="164" fontId="0" fillId="0" borderId="1" xfId="0" applyNumberFormat="1" applyBorder="1"/>
    <xf numFmtId="0" fontId="0" fillId="3" borderId="1" xfId="0" applyFill="1" applyBorder="1"/>
    <xf numFmtId="0" fontId="17" fillId="0" borderId="0" xfId="0" applyFont="1"/>
    <xf numFmtId="164" fontId="0" fillId="0" borderId="0" xfId="0" applyNumberFormat="1"/>
    <xf numFmtId="0" fontId="0" fillId="0" borderId="0" xfId="0" applyBorder="1"/>
    <xf numFmtId="164" fontId="0" fillId="2" borderId="1" xfId="0" applyNumberFormat="1" applyFill="1" applyBorder="1"/>
    <xf numFmtId="0" fontId="18" fillId="2" borderId="1" xfId="0" applyFont="1" applyFill="1" applyBorder="1"/>
    <xf numFmtId="0" fontId="19" fillId="0" borderId="1" xfId="0" applyFont="1" applyBorder="1"/>
    <xf numFmtId="0" fontId="23" fillId="0" borderId="0" xfId="0" applyFont="1"/>
    <xf numFmtId="0" fontId="21" fillId="5" borderId="1" xfId="0" applyFont="1" applyFill="1" applyBorder="1" applyAlignment="1">
      <alignment vertical="top" wrapText="1"/>
    </xf>
    <xf numFmtId="0" fontId="20" fillId="5" borderId="1" xfId="0" applyFont="1" applyFill="1" applyBorder="1" applyAlignment="1">
      <alignment vertical="top" wrapText="1"/>
    </xf>
    <xf numFmtId="0" fontId="20" fillId="6" borderId="1" xfId="0" applyFont="1" applyFill="1" applyBorder="1" applyAlignment="1">
      <alignment vertical="top" wrapText="1"/>
    </xf>
    <xf numFmtId="0" fontId="0" fillId="0" borderId="0" xfId="0" applyAlignment="1">
      <alignment horizontal="centerContinuous" vertical="top" wrapText="1"/>
    </xf>
    <xf numFmtId="0" fontId="0" fillId="0" borderId="0" xfId="0" applyAlignment="1">
      <alignment horizontal="centerContinuous" vertical="top"/>
    </xf>
    <xf numFmtId="0" fontId="22" fillId="0" borderId="0" xfId="0" applyFont="1" applyAlignment="1">
      <alignment horizontal="left" vertical="top"/>
    </xf>
    <xf numFmtId="0" fontId="5" fillId="0" borderId="0" xfId="0" applyFont="1"/>
    <xf numFmtId="0" fontId="26" fillId="4" borderId="0" xfId="0" applyFont="1" applyFill="1"/>
    <xf numFmtId="0" fontId="26" fillId="4" borderId="1" xfId="0" applyFont="1" applyFill="1" applyBorder="1"/>
    <xf numFmtId="0" fontId="18" fillId="3" borderId="1" xfId="0" applyFont="1" applyFill="1" applyBorder="1"/>
    <xf numFmtId="0" fontId="25" fillId="0" borderId="0" xfId="0" applyFont="1"/>
    <xf numFmtId="169" fontId="0" fillId="0" borderId="1" xfId="0" applyNumberFormat="1" applyBorder="1"/>
    <xf numFmtId="0" fontId="25" fillId="3" borderId="1" xfId="0" applyFont="1" applyFill="1" applyBorder="1"/>
    <xf numFmtId="0" fontId="25" fillId="4" borderId="1" xfId="0" applyFont="1" applyFill="1" applyBorder="1"/>
    <xf numFmtId="0" fontId="8" fillId="0" borderId="0" xfId="0" applyFont="1" applyFill="1" applyBorder="1"/>
    <xf numFmtId="0" fontId="27"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31</xdr:row>
      <xdr:rowOff>57150</xdr:rowOff>
    </xdr:from>
    <xdr:to>
      <xdr:col>1</xdr:col>
      <xdr:colOff>1095375</xdr:colOff>
      <xdr:row>40</xdr:row>
      <xdr:rowOff>171450</xdr:rowOff>
    </xdr:to>
    <xdr:pic>
      <xdr:nvPicPr>
        <xdr:cNvPr id="2" name="Рисунок 1">
          <a:extLst>
            <a:ext uri="{FF2B5EF4-FFF2-40B4-BE49-F238E27FC236}">
              <a16:creationId xmlns:a16="http://schemas.microsoft.com/office/drawing/2014/main" id="{77BEA5AE-C3FC-B532-1AC7-DB8771E0A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10275"/>
          <a:ext cx="3000375"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1162050</xdr:colOff>
      <xdr:row>31</xdr:row>
      <xdr:rowOff>123825</xdr:rowOff>
    </xdr:from>
    <xdr:to>
      <xdr:col>5</xdr:col>
      <xdr:colOff>66675</xdr:colOff>
      <xdr:row>38</xdr:row>
      <xdr:rowOff>123825</xdr:rowOff>
    </xdr:to>
    <xdr:pic>
      <xdr:nvPicPr>
        <xdr:cNvPr id="3" name="Рисунок 2">
          <a:extLst>
            <a:ext uri="{FF2B5EF4-FFF2-40B4-BE49-F238E27FC236}">
              <a16:creationId xmlns:a16="http://schemas.microsoft.com/office/drawing/2014/main" id="{23B02A3C-CF79-3790-90AC-9C057CF62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0450" y="6067425"/>
          <a:ext cx="138112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36</xdr:row>
      <xdr:rowOff>19050</xdr:rowOff>
    </xdr:from>
    <xdr:to>
      <xdr:col>2</xdr:col>
      <xdr:colOff>990600</xdr:colOff>
      <xdr:row>50</xdr:row>
      <xdr:rowOff>9525</xdr:rowOff>
    </xdr:to>
    <xdr:pic>
      <xdr:nvPicPr>
        <xdr:cNvPr id="2" name="Рисунок 1">
          <a:extLst>
            <a:ext uri="{FF2B5EF4-FFF2-40B4-BE49-F238E27FC236}">
              <a16:creationId xmlns:a16="http://schemas.microsoft.com/office/drawing/2014/main" id="{C302C0F7-309B-06E4-BC4F-2A317D3BAE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105650"/>
          <a:ext cx="3952875"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590550</xdr:colOff>
      <xdr:row>35</xdr:row>
      <xdr:rowOff>161925</xdr:rowOff>
    </xdr:from>
    <xdr:to>
      <xdr:col>10</xdr:col>
      <xdr:colOff>457200</xdr:colOff>
      <xdr:row>49</xdr:row>
      <xdr:rowOff>38100</xdr:rowOff>
    </xdr:to>
    <xdr:pic>
      <xdr:nvPicPr>
        <xdr:cNvPr id="3" name="Рисунок 2">
          <a:extLst>
            <a:ext uri="{FF2B5EF4-FFF2-40B4-BE49-F238E27FC236}">
              <a16:creationId xmlns:a16="http://schemas.microsoft.com/office/drawing/2014/main" id="{10509B45-371D-719E-E25F-114506834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7058025"/>
          <a:ext cx="367665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31</xdr:row>
      <xdr:rowOff>95250</xdr:rowOff>
    </xdr:from>
    <xdr:to>
      <xdr:col>2</xdr:col>
      <xdr:colOff>695325</xdr:colOff>
      <xdr:row>41</xdr:row>
      <xdr:rowOff>19050</xdr:rowOff>
    </xdr:to>
    <xdr:pic>
      <xdr:nvPicPr>
        <xdr:cNvPr id="2" name="Рисунок 1">
          <a:extLst>
            <a:ext uri="{FF2B5EF4-FFF2-40B4-BE49-F238E27FC236}">
              <a16:creationId xmlns:a16="http://schemas.microsoft.com/office/drawing/2014/main" id="{D260454E-9AF5-4D0A-9EB0-D54EE42FB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038850"/>
          <a:ext cx="293370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1162050</xdr:colOff>
      <xdr:row>31</xdr:row>
      <xdr:rowOff>123825</xdr:rowOff>
    </xdr:from>
    <xdr:to>
      <xdr:col>5</xdr:col>
      <xdr:colOff>66675</xdr:colOff>
      <xdr:row>38</xdr:row>
      <xdr:rowOff>123825</xdr:rowOff>
    </xdr:to>
    <xdr:pic>
      <xdr:nvPicPr>
        <xdr:cNvPr id="3" name="Рисунок 2">
          <a:extLst>
            <a:ext uri="{FF2B5EF4-FFF2-40B4-BE49-F238E27FC236}">
              <a16:creationId xmlns:a16="http://schemas.microsoft.com/office/drawing/2014/main" id="{42D695AE-05F0-4804-84D2-7F3F0A8EDC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05175" y="6067425"/>
          <a:ext cx="1285875"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36</xdr:row>
      <xdr:rowOff>19050</xdr:rowOff>
    </xdr:from>
    <xdr:to>
      <xdr:col>2</xdr:col>
      <xdr:colOff>990600</xdr:colOff>
      <xdr:row>50</xdr:row>
      <xdr:rowOff>9525</xdr:rowOff>
    </xdr:to>
    <xdr:pic>
      <xdr:nvPicPr>
        <xdr:cNvPr id="2" name="Рисунок 1">
          <a:extLst>
            <a:ext uri="{FF2B5EF4-FFF2-40B4-BE49-F238E27FC236}">
              <a16:creationId xmlns:a16="http://schemas.microsoft.com/office/drawing/2014/main" id="{909E0E14-2E94-47BC-8784-D6AFCA064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7105650"/>
          <a:ext cx="3952875" cy="2657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590550</xdr:colOff>
      <xdr:row>35</xdr:row>
      <xdr:rowOff>161925</xdr:rowOff>
    </xdr:from>
    <xdr:to>
      <xdr:col>10</xdr:col>
      <xdr:colOff>457200</xdr:colOff>
      <xdr:row>49</xdr:row>
      <xdr:rowOff>38100</xdr:rowOff>
    </xdr:to>
    <xdr:pic>
      <xdr:nvPicPr>
        <xdr:cNvPr id="3" name="Рисунок 2">
          <a:extLst>
            <a:ext uri="{FF2B5EF4-FFF2-40B4-BE49-F238E27FC236}">
              <a16:creationId xmlns:a16="http://schemas.microsoft.com/office/drawing/2014/main" id="{858D8275-D187-4CD9-9A85-33020A70E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7058025"/>
          <a:ext cx="3676650" cy="2543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352425</xdr:colOff>
      <xdr:row>27</xdr:row>
      <xdr:rowOff>47625</xdr:rowOff>
    </xdr:from>
    <xdr:to>
      <xdr:col>16</xdr:col>
      <xdr:colOff>142875</xdr:colOff>
      <xdr:row>57</xdr:row>
      <xdr:rowOff>9525</xdr:rowOff>
    </xdr:to>
    <xdr:pic>
      <xdr:nvPicPr>
        <xdr:cNvPr id="3" name="Рисунок 2">
          <a:extLst>
            <a:ext uri="{FF2B5EF4-FFF2-40B4-BE49-F238E27FC236}">
              <a16:creationId xmlns:a16="http://schemas.microsoft.com/office/drawing/2014/main" id="{EE5EDE8B-D3AC-04A8-E38A-C1842C14B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05475" y="5286375"/>
          <a:ext cx="5276850" cy="567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457200</xdr:colOff>
      <xdr:row>27</xdr:row>
      <xdr:rowOff>19050</xdr:rowOff>
    </xdr:from>
    <xdr:to>
      <xdr:col>13</xdr:col>
      <xdr:colOff>590550</xdr:colOff>
      <xdr:row>46</xdr:row>
      <xdr:rowOff>0</xdr:rowOff>
    </xdr:to>
    <xdr:pic>
      <xdr:nvPicPr>
        <xdr:cNvPr id="3" name="Рисунок 2">
          <a:extLst>
            <a:ext uri="{FF2B5EF4-FFF2-40B4-BE49-F238E27FC236}">
              <a16:creationId xmlns:a16="http://schemas.microsoft.com/office/drawing/2014/main" id="{CB1A8E08-3768-4BCA-A708-C69FA124E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900" y="6305550"/>
          <a:ext cx="5438775"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27</xdr:row>
      <xdr:rowOff>19050</xdr:rowOff>
    </xdr:from>
    <xdr:to>
      <xdr:col>5</xdr:col>
      <xdr:colOff>95250</xdr:colOff>
      <xdr:row>56</xdr:row>
      <xdr:rowOff>57150</xdr:rowOff>
    </xdr:to>
    <xdr:pic>
      <xdr:nvPicPr>
        <xdr:cNvPr id="4" name="Рисунок 3">
          <a:extLst>
            <a:ext uri="{FF2B5EF4-FFF2-40B4-BE49-F238E27FC236}">
              <a16:creationId xmlns:a16="http://schemas.microsoft.com/office/drawing/2014/main" id="{35C10335-72BF-5556-DCE9-632376F9FE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6305550"/>
          <a:ext cx="5248275" cy="556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B1D9690-81EA-4603-87FF-60E80856B2FA}">
  <we:reference id="wa104379190" version="2.0.0.0" store="ru-RU" storeType="OMEX"/>
  <we:alternateReferences>
    <we:reference id="wa104379190" version="2.0.0.0" store="WA104379190" storeType="OMEX"/>
  </we:alternateReferences>
  <we:properties/>
  <we:bindings>
    <we:binding id="RangeSelect" type="matrix" appref="{BB554803-4C25-4225-920E-22AE45C8C203}"/>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84560-F775-49D7-9B65-732B8D3E799B}">
  <dimension ref="A1:E16"/>
  <sheetViews>
    <sheetView workbookViewId="0">
      <selection activeCell="I29" sqref="I29"/>
    </sheetView>
  </sheetViews>
  <sheetFormatPr defaultRowHeight="15" x14ac:dyDescent="0.25"/>
  <cols>
    <col min="1" max="1" width="28.5703125" customWidth="1"/>
    <col min="2" max="2" width="24.42578125" customWidth="1"/>
    <col min="3" max="3" width="16" customWidth="1"/>
  </cols>
  <sheetData>
    <row r="1" spans="1:5" ht="15.75" x14ac:dyDescent="0.25">
      <c r="A1" s="16" t="s">
        <v>3</v>
      </c>
      <c r="B1" s="7"/>
      <c r="C1" s="7"/>
      <c r="E1" s="1" t="s">
        <v>0</v>
      </c>
    </row>
    <row r="2" spans="1:5" x14ac:dyDescent="0.25">
      <c r="A2" s="4">
        <v>50000</v>
      </c>
      <c r="E2" s="2"/>
    </row>
    <row r="3" spans="1:5" x14ac:dyDescent="0.25">
      <c r="A3" s="4">
        <v>60000</v>
      </c>
      <c r="D3">
        <v>1</v>
      </c>
      <c r="E3" s="14" t="s">
        <v>1</v>
      </c>
    </row>
    <row r="4" spans="1:5" x14ac:dyDescent="0.25">
      <c r="A4" s="4">
        <v>70000</v>
      </c>
      <c r="D4">
        <v>2</v>
      </c>
      <c r="E4" s="15" t="s">
        <v>23</v>
      </c>
    </row>
    <row r="5" spans="1:5" x14ac:dyDescent="0.25">
      <c r="A5" s="4">
        <v>80000</v>
      </c>
      <c r="D5">
        <v>3</v>
      </c>
      <c r="E5" s="15" t="s">
        <v>24</v>
      </c>
    </row>
    <row r="6" spans="1:5" x14ac:dyDescent="0.25">
      <c r="A6" s="4">
        <v>90000</v>
      </c>
      <c r="D6">
        <v>4</v>
      </c>
      <c r="E6" s="15" t="s">
        <v>25</v>
      </c>
    </row>
    <row r="7" spans="1:5" ht="15.75" x14ac:dyDescent="0.25">
      <c r="E7" s="3" t="s">
        <v>2</v>
      </c>
    </row>
    <row r="10" spans="1:5" ht="15.75" x14ac:dyDescent="0.25">
      <c r="E10" s="1" t="s">
        <v>18</v>
      </c>
    </row>
    <row r="11" spans="1:5" x14ac:dyDescent="0.25">
      <c r="E11" s="2"/>
    </row>
    <row r="12" spans="1:5" x14ac:dyDescent="0.25">
      <c r="D12">
        <v>1</v>
      </c>
      <c r="E12" s="12" t="s">
        <v>20</v>
      </c>
    </row>
    <row r="13" spans="1:5" x14ac:dyDescent="0.25">
      <c r="D13">
        <v>2</v>
      </c>
      <c r="E13" s="11" t="s">
        <v>19</v>
      </c>
    </row>
    <row r="14" spans="1:5" x14ac:dyDescent="0.25">
      <c r="D14">
        <v>3</v>
      </c>
      <c r="E14" s="13" t="s">
        <v>99</v>
      </c>
    </row>
    <row r="15" spans="1:5" x14ac:dyDescent="0.25">
      <c r="D15">
        <v>4</v>
      </c>
      <c r="E15" s="11" t="s">
        <v>100</v>
      </c>
    </row>
    <row r="16" spans="1:5" x14ac:dyDescent="0.25">
      <c r="D16">
        <v>5</v>
      </c>
      <c r="E16" s="11" t="s">
        <v>26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E766-3901-4E7C-8362-920FF1A40B5B}">
  <dimension ref="A1:J40"/>
  <sheetViews>
    <sheetView zoomScale="85" zoomScaleNormal="85" workbookViewId="0">
      <selection activeCell="C33" sqref="C33"/>
    </sheetView>
  </sheetViews>
  <sheetFormatPr defaultRowHeight="15" x14ac:dyDescent="0.25"/>
  <cols>
    <col min="1" max="1" width="23.5703125" customWidth="1"/>
    <col min="2" max="2" width="11.28515625" customWidth="1"/>
    <col min="3" max="6" width="13.42578125" customWidth="1"/>
    <col min="7" max="9" width="9.28515625" bestFit="1" customWidth="1"/>
  </cols>
  <sheetData>
    <row r="1" spans="1:10" ht="43.5" customHeight="1" x14ac:dyDescent="0.25">
      <c r="A1" s="18" t="s">
        <v>27</v>
      </c>
      <c r="B1" s="18" t="s">
        <v>28</v>
      </c>
    </row>
    <row r="2" spans="1:10" ht="15.75" x14ac:dyDescent="0.25">
      <c r="A2" s="17">
        <v>1000</v>
      </c>
      <c r="B2" s="17">
        <v>10000</v>
      </c>
      <c r="G2" s="1" t="s">
        <v>29</v>
      </c>
    </row>
    <row r="3" spans="1:10" x14ac:dyDescent="0.25">
      <c r="A3" s="17">
        <v>2000</v>
      </c>
      <c r="B3" s="17">
        <v>15000</v>
      </c>
      <c r="G3" s="2"/>
    </row>
    <row r="4" spans="1:10" ht="15.75" x14ac:dyDescent="0.25">
      <c r="A4" s="17">
        <v>3000</v>
      </c>
      <c r="B4" s="17">
        <v>20000</v>
      </c>
      <c r="F4">
        <v>1</v>
      </c>
      <c r="G4" s="9" t="s">
        <v>33</v>
      </c>
    </row>
    <row r="5" spans="1:10" x14ac:dyDescent="0.25">
      <c r="A5" s="17">
        <v>4000</v>
      </c>
      <c r="B5" s="17">
        <v>25000</v>
      </c>
      <c r="F5">
        <v>2</v>
      </c>
      <c r="G5" s="10" t="s">
        <v>34</v>
      </c>
    </row>
    <row r="6" spans="1:10" ht="15.75" x14ac:dyDescent="0.25">
      <c r="A6" s="17">
        <v>5000</v>
      </c>
      <c r="B6" s="17">
        <v>30000</v>
      </c>
      <c r="F6">
        <v>3</v>
      </c>
      <c r="G6" s="19" t="s">
        <v>102</v>
      </c>
    </row>
    <row r="7" spans="1:10" x14ac:dyDescent="0.25">
      <c r="F7">
        <v>4</v>
      </c>
      <c r="G7" s="10" t="s">
        <v>30</v>
      </c>
    </row>
    <row r="8" spans="1:10" x14ac:dyDescent="0.25">
      <c r="F8">
        <v>5</v>
      </c>
      <c r="G8" s="10" t="s">
        <v>101</v>
      </c>
    </row>
    <row r="9" spans="1:10" x14ac:dyDescent="0.25">
      <c r="F9">
        <v>6</v>
      </c>
      <c r="G9" s="10" t="s">
        <v>32</v>
      </c>
    </row>
    <row r="11" spans="1:10" ht="15.75" x14ac:dyDescent="0.25">
      <c r="G11" s="8" t="s">
        <v>37</v>
      </c>
    </row>
    <row r="12" spans="1:10" x14ac:dyDescent="0.25">
      <c r="G12" t="s">
        <v>36</v>
      </c>
    </row>
    <row r="16" spans="1:10" x14ac:dyDescent="0.25">
      <c r="H16" s="21"/>
      <c r="I16" s="21"/>
      <c r="J16" s="21"/>
    </row>
    <row r="17" spans="10:10" x14ac:dyDescent="0.25">
      <c r="J17" s="21"/>
    </row>
    <row r="18" spans="10:10" x14ac:dyDescent="0.25">
      <c r="J18" s="21"/>
    </row>
    <row r="19" spans="10:10" x14ac:dyDescent="0.25">
      <c r="J19" s="21"/>
    </row>
    <row r="20" spans="10:10" x14ac:dyDescent="0.25">
      <c r="J20" s="21"/>
    </row>
    <row r="21" spans="10:10" x14ac:dyDescent="0.25">
      <c r="J21" s="21"/>
    </row>
    <row r="22" spans="10:10" x14ac:dyDescent="0.25">
      <c r="J22" s="21"/>
    </row>
    <row r="40" spans="10:10" x14ac:dyDescent="0.25">
      <c r="J4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68AE-FA7E-41CC-98F8-FC49DBF4A7B0}">
  <dimension ref="A1:J15"/>
  <sheetViews>
    <sheetView workbookViewId="0">
      <selection activeCell="G26" sqref="G26"/>
    </sheetView>
  </sheetViews>
  <sheetFormatPr defaultRowHeight="15" x14ac:dyDescent="0.25"/>
  <cols>
    <col min="1" max="1" width="34.140625" customWidth="1"/>
    <col min="2" max="2" width="13.7109375" customWidth="1"/>
    <col min="3" max="3" width="15.140625" customWidth="1"/>
    <col min="7" max="7" width="20.5703125" customWidth="1"/>
    <col min="11" max="11" width="12.5703125" customWidth="1"/>
    <col min="12" max="12" width="12.42578125" customWidth="1"/>
    <col min="13" max="13" width="16.140625" customWidth="1"/>
  </cols>
  <sheetData>
    <row r="1" spans="1:10" ht="24.75" x14ac:dyDescent="0.5">
      <c r="A1" s="16" t="s">
        <v>66</v>
      </c>
      <c r="B1" s="16" t="s">
        <v>67</v>
      </c>
      <c r="D1" s="4" t="s">
        <v>83</v>
      </c>
      <c r="E1" s="4" t="s">
        <v>84</v>
      </c>
      <c r="F1" s="4" t="s">
        <v>85</v>
      </c>
      <c r="J1" s="25" t="s">
        <v>68</v>
      </c>
    </row>
    <row r="2" spans="1:10" x14ac:dyDescent="0.25">
      <c r="A2" s="4">
        <v>80</v>
      </c>
      <c r="B2" s="4">
        <v>75</v>
      </c>
      <c r="D2" s="4">
        <v>40</v>
      </c>
      <c r="E2" s="4">
        <v>45</v>
      </c>
      <c r="F2" s="4">
        <v>50</v>
      </c>
    </row>
    <row r="3" spans="1:10" ht="15.75" x14ac:dyDescent="0.25">
      <c r="A3" s="4">
        <v>85</v>
      </c>
      <c r="B3" s="4">
        <v>80</v>
      </c>
      <c r="D3" s="4">
        <v>45</v>
      </c>
      <c r="E3" s="4">
        <v>50</v>
      </c>
      <c r="F3" s="4">
        <v>55</v>
      </c>
      <c r="I3" s="26" t="s">
        <v>104</v>
      </c>
    </row>
    <row r="4" spans="1:10" ht="15.75" x14ac:dyDescent="0.25">
      <c r="A4" s="4">
        <v>90</v>
      </c>
      <c r="B4" s="4">
        <v>85</v>
      </c>
      <c r="D4" s="4">
        <v>50</v>
      </c>
      <c r="E4" s="4">
        <v>55</v>
      </c>
      <c r="F4" s="4">
        <v>60</v>
      </c>
      <c r="H4">
        <v>1</v>
      </c>
      <c r="I4" s="9" t="s">
        <v>71</v>
      </c>
    </row>
    <row r="5" spans="1:10" x14ac:dyDescent="0.25">
      <c r="A5" s="4">
        <v>75</v>
      </c>
      <c r="B5" s="4">
        <v>70</v>
      </c>
      <c r="D5" s="4">
        <v>55</v>
      </c>
      <c r="E5" s="4">
        <v>60</v>
      </c>
      <c r="F5" s="4">
        <v>65</v>
      </c>
      <c r="H5">
        <v>2</v>
      </c>
      <c r="I5" s="11" t="s">
        <v>87</v>
      </c>
    </row>
    <row r="6" spans="1:10" ht="15.75" x14ac:dyDescent="0.25">
      <c r="A6" s="4">
        <v>80</v>
      </c>
      <c r="B6" s="4">
        <v>75</v>
      </c>
      <c r="H6">
        <v>4</v>
      </c>
      <c r="I6" s="19" t="s">
        <v>72</v>
      </c>
    </row>
    <row r="7" spans="1:10" x14ac:dyDescent="0.25">
      <c r="H7">
        <v>5</v>
      </c>
      <c r="I7" s="11" t="s">
        <v>88</v>
      </c>
    </row>
    <row r="11" spans="1:10" ht="15.75" x14ac:dyDescent="0.25">
      <c r="I11" s="26" t="s">
        <v>103</v>
      </c>
    </row>
    <row r="12" spans="1:10" ht="15.75" x14ac:dyDescent="0.25">
      <c r="H12">
        <v>1</v>
      </c>
      <c r="I12" s="9" t="s">
        <v>71</v>
      </c>
    </row>
    <row r="13" spans="1:10" x14ac:dyDescent="0.25">
      <c r="H13">
        <v>2</v>
      </c>
      <c r="I13" s="11" t="s">
        <v>70</v>
      </c>
    </row>
    <row r="14" spans="1:10" ht="15.75" x14ac:dyDescent="0.25">
      <c r="H14">
        <v>3</v>
      </c>
      <c r="I14" s="19" t="s">
        <v>72</v>
      </c>
    </row>
    <row r="15" spans="1:10" x14ac:dyDescent="0.25">
      <c r="H15">
        <v>4</v>
      </c>
      <c r="I15" s="11" t="s">
        <v>88</v>
      </c>
    </row>
  </sheetData>
  <pageMargins left="0.7" right="0.7" top="0.75" bottom="0.75" header="0.3" footer="0.3"/>
  <drawing r:id="rId1"/>
  <extLst>
    <ext xmlns:x15="http://schemas.microsoft.com/office/spreadsheetml/2010/11/main" uri="{F7C9EE02-42E1-4005-9D12-6889AFFD525C}">
      <x15:webExtensions xmlns:xm="http://schemas.microsoft.com/office/excel/2006/main">
        <x15:webExtension appRef="{BB554803-4C25-4225-920E-22AE45C8C203}">
          <xm:f>тест!1:1048576</xm:f>
        </x15:webExtension>
      </x15:webExtens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FBB2-BF8E-4201-830F-B6D4400F5203}">
  <dimension ref="A1:R32"/>
  <sheetViews>
    <sheetView workbookViewId="0">
      <selection activeCell="K30" sqref="K30"/>
    </sheetView>
  </sheetViews>
  <sheetFormatPr defaultRowHeight="15" x14ac:dyDescent="0.25"/>
  <cols>
    <col min="1" max="1" width="25.42578125" customWidth="1"/>
  </cols>
  <sheetData>
    <row r="1" spans="1:12" ht="22.5" x14ac:dyDescent="0.45">
      <c r="K1" s="32" t="s">
        <v>124</v>
      </c>
    </row>
    <row r="2" spans="1:12" x14ac:dyDescent="0.25">
      <c r="A2" s="4" t="s">
        <v>105</v>
      </c>
      <c r="B2" s="4" t="s">
        <v>106</v>
      </c>
      <c r="C2" s="4" t="s">
        <v>107</v>
      </c>
      <c r="D2" s="4" t="s">
        <v>108</v>
      </c>
      <c r="E2" s="4" t="s">
        <v>109</v>
      </c>
      <c r="F2" s="4" t="s">
        <v>47</v>
      </c>
    </row>
    <row r="3" spans="1:12" x14ac:dyDescent="0.25">
      <c r="A3" s="4" t="s">
        <v>110</v>
      </c>
      <c r="B3" s="4">
        <v>0.9</v>
      </c>
      <c r="C3" s="4">
        <v>1.1000000000000001</v>
      </c>
      <c r="D3" s="4">
        <v>0.8</v>
      </c>
      <c r="E3" s="4">
        <v>1.2</v>
      </c>
      <c r="F3" s="4"/>
      <c r="J3" t="s">
        <v>125</v>
      </c>
    </row>
    <row r="4" spans="1:12" x14ac:dyDescent="0.25">
      <c r="A4" s="4"/>
      <c r="B4" s="4"/>
      <c r="C4" s="4"/>
      <c r="D4" s="4"/>
      <c r="E4" s="4"/>
      <c r="F4" s="4"/>
    </row>
    <row r="5" spans="1:12" x14ac:dyDescent="0.25">
      <c r="A5" s="37" t="s">
        <v>111</v>
      </c>
      <c r="B5" s="30">
        <f>35*B3*(B11+3000)^0.5</f>
        <v>1725.3260561412733</v>
      </c>
      <c r="C5" s="30">
        <f t="shared" ref="C5:F5" si="0">35*C3*(C11+3000)^0.5</f>
        <v>2108.7318463948895</v>
      </c>
      <c r="D5" s="30">
        <f t="shared" si="0"/>
        <v>1533.6231610144653</v>
      </c>
      <c r="E5" s="30">
        <f t="shared" si="0"/>
        <v>2300.4347415216976</v>
      </c>
      <c r="F5" s="30">
        <f>SUM(B5:E5)</f>
        <v>7668.1158050723261</v>
      </c>
      <c r="J5">
        <v>1</v>
      </c>
      <c r="K5" s="10" t="s">
        <v>126</v>
      </c>
    </row>
    <row r="6" spans="1:12" x14ac:dyDescent="0.25">
      <c r="A6" s="28" t="s">
        <v>112</v>
      </c>
      <c r="B6" s="30">
        <f>B5*$B$18</f>
        <v>69013.042245650926</v>
      </c>
      <c r="C6" s="30">
        <f t="shared" ref="C6:E6" si="1">C5*$B$18</f>
        <v>84349.273855795589</v>
      </c>
      <c r="D6" s="30">
        <f t="shared" si="1"/>
        <v>61344.926440578609</v>
      </c>
      <c r="E6" s="30">
        <f t="shared" si="1"/>
        <v>92017.389660867906</v>
      </c>
      <c r="F6" s="30">
        <f>SUM(B6:E6)</f>
        <v>306724.63220289303</v>
      </c>
      <c r="J6">
        <v>2</v>
      </c>
      <c r="K6" s="10" t="s">
        <v>180</v>
      </c>
    </row>
    <row r="7" spans="1:12" x14ac:dyDescent="0.25">
      <c r="A7" s="37" t="s">
        <v>113</v>
      </c>
      <c r="B7" s="30">
        <f>B5*$B$19</f>
        <v>43133.151403531832</v>
      </c>
      <c r="C7" s="30">
        <f t="shared" ref="C7:E7" si="2">C5*$B$19</f>
        <v>52718.29615987224</v>
      </c>
      <c r="D7" s="30">
        <f t="shared" si="2"/>
        <v>38340.579025361629</v>
      </c>
      <c r="E7" s="30">
        <f t="shared" si="2"/>
        <v>57510.868538042436</v>
      </c>
      <c r="F7" s="30">
        <f>SUM(B7:E7)</f>
        <v>191702.89512680814</v>
      </c>
      <c r="J7">
        <v>3</v>
      </c>
      <c r="K7" s="10" t="s">
        <v>127</v>
      </c>
    </row>
    <row r="8" spans="1:12" x14ac:dyDescent="0.25">
      <c r="A8" s="37" t="s">
        <v>114</v>
      </c>
      <c r="B8" s="30">
        <f>B6-B7</f>
        <v>25879.890842119094</v>
      </c>
      <c r="C8" s="30">
        <f t="shared" ref="C8:E8" si="3">C6-C7</f>
        <v>31630.97769592335</v>
      </c>
      <c r="D8" s="30">
        <f t="shared" si="3"/>
        <v>23004.34741521698</v>
      </c>
      <c r="E8" s="30">
        <f t="shared" si="3"/>
        <v>34506.52112282547</v>
      </c>
      <c r="F8" s="30">
        <f>SUM(B8:E8)</f>
        <v>115021.73707608489</v>
      </c>
      <c r="J8">
        <v>4</v>
      </c>
      <c r="K8" s="10" t="s">
        <v>133</v>
      </c>
      <c r="L8" s="10"/>
    </row>
    <row r="9" spans="1:12" x14ac:dyDescent="0.25">
      <c r="A9" s="4"/>
      <c r="B9" s="4"/>
      <c r="C9" s="4"/>
      <c r="D9" s="4"/>
      <c r="E9" s="4"/>
      <c r="F9" s="4"/>
      <c r="K9" s="10"/>
      <c r="L9" s="10" t="s">
        <v>128</v>
      </c>
    </row>
    <row r="10" spans="1:12" x14ac:dyDescent="0.25">
      <c r="A10" s="4" t="s">
        <v>115</v>
      </c>
      <c r="B10" s="4">
        <v>8000</v>
      </c>
      <c r="C10" s="4">
        <v>8000</v>
      </c>
      <c r="D10" s="4">
        <v>9000</v>
      </c>
      <c r="E10" s="4">
        <v>9000</v>
      </c>
      <c r="F10" s="4">
        <v>34000</v>
      </c>
      <c r="K10" s="10"/>
      <c r="L10" s="10" t="s">
        <v>129</v>
      </c>
    </row>
    <row r="11" spans="1:12" x14ac:dyDescent="0.25">
      <c r="A11" s="29" t="s">
        <v>116</v>
      </c>
      <c r="B11" s="51">
        <v>0</v>
      </c>
      <c r="C11" s="51">
        <v>0</v>
      </c>
      <c r="D11" s="51">
        <v>0</v>
      </c>
      <c r="E11" s="51">
        <v>0</v>
      </c>
      <c r="F11" s="52">
        <f>SUM(B11:E11)</f>
        <v>0</v>
      </c>
      <c r="K11" s="10"/>
      <c r="L11" s="10" t="s">
        <v>134</v>
      </c>
    </row>
    <row r="12" spans="1:12" x14ac:dyDescent="0.25">
      <c r="A12" s="37" t="s">
        <v>117</v>
      </c>
      <c r="B12" s="30">
        <f xml:space="preserve"> 0.15*B6</f>
        <v>10351.956336847639</v>
      </c>
      <c r="C12" s="30">
        <f t="shared" ref="C12:E12" si="4" xml:space="preserve"> 0.15*C6</f>
        <v>12652.391078369337</v>
      </c>
      <c r="D12" s="30">
        <f t="shared" si="4"/>
        <v>9201.7389660867902</v>
      </c>
      <c r="E12" s="30">
        <f t="shared" si="4"/>
        <v>13802.608449130186</v>
      </c>
      <c r="F12" s="30">
        <f>SUM(B12:E12)</f>
        <v>46008.694830433953</v>
      </c>
      <c r="J12">
        <v>5</v>
      </c>
      <c r="K12" s="10" t="s">
        <v>135</v>
      </c>
      <c r="L12" s="10"/>
    </row>
    <row r="13" spans="1:12" x14ac:dyDescent="0.25">
      <c r="A13" s="28" t="s">
        <v>118</v>
      </c>
      <c r="B13" s="30">
        <f>SUM(B10:B12)</f>
        <v>18351.956336847637</v>
      </c>
      <c r="C13" s="30">
        <f t="shared" ref="C13:E13" si="5">SUM(C10:C12)</f>
        <v>20652.391078369335</v>
      </c>
      <c r="D13" s="30">
        <f t="shared" si="5"/>
        <v>18201.738966086792</v>
      </c>
      <c r="E13" s="30">
        <f t="shared" si="5"/>
        <v>22802.608449130188</v>
      </c>
      <c r="F13" s="30">
        <f>SUM(B13:E13)</f>
        <v>80008.69483043396</v>
      </c>
      <c r="K13" s="10" t="s">
        <v>138</v>
      </c>
      <c r="L13" s="10"/>
    </row>
    <row r="14" spans="1:12" x14ac:dyDescent="0.25">
      <c r="A14" s="4"/>
      <c r="B14" s="4"/>
      <c r="C14" s="4"/>
      <c r="D14" s="4"/>
      <c r="E14" s="4"/>
      <c r="F14" s="4"/>
      <c r="K14" s="10"/>
      <c r="L14" s="10" t="s">
        <v>139</v>
      </c>
    </row>
    <row r="15" spans="1:12" x14ac:dyDescent="0.25">
      <c r="A15" s="36" t="s">
        <v>119</v>
      </c>
      <c r="B15" s="35">
        <f>B8-B13</f>
        <v>7527.9345052714561</v>
      </c>
      <c r="C15" s="35">
        <f t="shared" ref="C15:E15" si="6">C8-C13</f>
        <v>10978.586617554014</v>
      </c>
      <c r="D15" s="35">
        <f t="shared" si="6"/>
        <v>4802.6084491301881</v>
      </c>
      <c r="E15" s="35">
        <f t="shared" si="6"/>
        <v>11703.912673695282</v>
      </c>
      <c r="F15" s="35">
        <f>SUM(B15:E15)</f>
        <v>35013.04224565094</v>
      </c>
      <c r="K15" s="54"/>
      <c r="L15" s="54"/>
    </row>
    <row r="16" spans="1:12" x14ac:dyDescent="0.25">
      <c r="A16" s="4" t="s">
        <v>120</v>
      </c>
      <c r="B16" s="27">
        <f>B15/B6</f>
        <v>0.10907988200948861</v>
      </c>
      <c r="C16" s="27">
        <f t="shared" ref="C16:F16" si="7">C15/C6</f>
        <v>0.13015626709867262</v>
      </c>
      <c r="D16" s="27">
        <f t="shared" si="7"/>
        <v>7.8288600668259101E-2</v>
      </c>
      <c r="E16" s="27">
        <f t="shared" si="7"/>
        <v>0.12719240044550609</v>
      </c>
      <c r="F16" s="27">
        <f t="shared" si="7"/>
        <v>0.11415138717157355</v>
      </c>
    </row>
    <row r="18" spans="1:18" x14ac:dyDescent="0.25">
      <c r="A18" s="4" t="s">
        <v>130</v>
      </c>
      <c r="B18" s="50">
        <v>40</v>
      </c>
      <c r="Q18" s="34"/>
      <c r="R18" s="34"/>
    </row>
    <row r="19" spans="1:18" x14ac:dyDescent="0.25">
      <c r="A19" s="4" t="s">
        <v>121</v>
      </c>
      <c r="B19" s="50">
        <v>25</v>
      </c>
      <c r="Q19" s="34"/>
      <c r="R19" s="34"/>
    </row>
    <row r="20" spans="1:18" x14ac:dyDescent="0.25">
      <c r="Q20" s="34"/>
      <c r="R20" s="34"/>
    </row>
    <row r="21" spans="1:18" x14ac:dyDescent="0.25">
      <c r="Q21" s="34"/>
      <c r="R21" s="34"/>
    </row>
    <row r="22" spans="1:18" x14ac:dyDescent="0.25">
      <c r="A22" s="10" t="s">
        <v>140</v>
      </c>
      <c r="B22" s="10" t="s">
        <v>122</v>
      </c>
    </row>
    <row r="23" spans="1:18" x14ac:dyDescent="0.25">
      <c r="A23" s="29" t="s">
        <v>112</v>
      </c>
      <c r="B23" s="10" t="s">
        <v>179</v>
      </c>
      <c r="F23" s="10" t="s">
        <v>131</v>
      </c>
    </row>
    <row r="24" spans="1:18" x14ac:dyDescent="0.25">
      <c r="A24" s="10" t="s">
        <v>121</v>
      </c>
      <c r="B24" s="10" t="s">
        <v>178</v>
      </c>
      <c r="C24" s="10"/>
      <c r="D24" s="10"/>
      <c r="E24" s="10"/>
      <c r="F24" s="10" t="s">
        <v>145</v>
      </c>
      <c r="G24" s="10"/>
    </row>
    <row r="25" spans="1:18" x14ac:dyDescent="0.25">
      <c r="A25" s="10" t="s">
        <v>114</v>
      </c>
      <c r="B25" s="10" t="s">
        <v>136</v>
      </c>
      <c r="C25" s="10"/>
      <c r="D25" s="10"/>
      <c r="E25" s="10"/>
      <c r="F25" s="10" t="s">
        <v>137</v>
      </c>
    </row>
    <row r="26" spans="1:18" x14ac:dyDescent="0.25">
      <c r="A26" s="53" t="s">
        <v>116</v>
      </c>
      <c r="B26" s="54">
        <v>0</v>
      </c>
      <c r="F26" s="10" t="s">
        <v>181</v>
      </c>
    </row>
    <row r="27" spans="1:18" x14ac:dyDescent="0.25">
      <c r="A27" s="10" t="s">
        <v>117</v>
      </c>
      <c r="B27" s="10" t="s">
        <v>123</v>
      </c>
      <c r="F27" s="10" t="s">
        <v>132</v>
      </c>
    </row>
    <row r="28" spans="1:18" x14ac:dyDescent="0.25">
      <c r="A28" s="10" t="s">
        <v>118</v>
      </c>
      <c r="B28" s="10" t="s">
        <v>141</v>
      </c>
      <c r="C28" s="10"/>
      <c r="D28" s="10"/>
      <c r="E28" s="10"/>
      <c r="F28" s="10" t="s">
        <v>142</v>
      </c>
    </row>
    <row r="30" spans="1:18" x14ac:dyDescent="0.25">
      <c r="A30" s="10" t="s">
        <v>119</v>
      </c>
      <c r="B30" s="10" t="s">
        <v>143</v>
      </c>
      <c r="F30" s="10" t="s">
        <v>144</v>
      </c>
    </row>
    <row r="31" spans="1:18" x14ac:dyDescent="0.25">
      <c r="A31" s="10" t="s">
        <v>120</v>
      </c>
      <c r="B31" s="10" t="s">
        <v>177</v>
      </c>
    </row>
    <row r="32" spans="1:18" x14ac:dyDescent="0.25">
      <c r="A32" s="10"/>
      <c r="B32" s="10"/>
      <c r="D32" s="33"/>
      <c r="F32"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71EF-9579-4E95-B099-857978C0ECF2}">
  <dimension ref="A1:I20"/>
  <sheetViews>
    <sheetView workbookViewId="0">
      <selection activeCell="D20" sqref="D20"/>
    </sheetView>
  </sheetViews>
  <sheetFormatPr defaultRowHeight="15" x14ac:dyDescent="0.25"/>
  <cols>
    <col min="1" max="1" width="18.140625" customWidth="1"/>
    <col min="2" max="2" width="19.85546875" customWidth="1"/>
    <col min="3" max="3" width="16.42578125" customWidth="1"/>
    <col min="4" max="4" width="14.7109375" customWidth="1"/>
    <col min="6" max="6" width="15.5703125" customWidth="1"/>
  </cols>
  <sheetData>
    <row r="1" spans="1:9" ht="61.5" customHeight="1" x14ac:dyDescent="0.25">
      <c r="A1" s="42" t="s">
        <v>158</v>
      </c>
      <c r="B1" s="43"/>
      <c r="C1" s="43"/>
      <c r="D1" s="43"/>
      <c r="E1" s="43"/>
      <c r="I1" s="44" t="s">
        <v>151</v>
      </c>
    </row>
    <row r="2" spans="1:9" ht="30" customHeight="1" x14ac:dyDescent="0.25">
      <c r="A2" s="4"/>
      <c r="B2" s="40" t="s">
        <v>147</v>
      </c>
      <c r="C2" s="41" t="s">
        <v>148</v>
      </c>
      <c r="D2" s="40" t="s">
        <v>149</v>
      </c>
      <c r="E2" s="4" t="s">
        <v>154</v>
      </c>
      <c r="G2" s="38" t="s">
        <v>146</v>
      </c>
    </row>
    <row r="3" spans="1:9" ht="27" customHeight="1" x14ac:dyDescent="0.25">
      <c r="A3" s="39" t="s">
        <v>150</v>
      </c>
      <c r="B3" s="40">
        <v>1000</v>
      </c>
      <c r="C3" s="41">
        <v>500</v>
      </c>
      <c r="D3" s="40">
        <v>300</v>
      </c>
      <c r="E3" s="4"/>
      <c r="G3" s="49" t="s">
        <v>163</v>
      </c>
    </row>
    <row r="4" spans="1:9" ht="28.5" customHeight="1" x14ac:dyDescent="0.25">
      <c r="A4" s="39" t="s">
        <v>152</v>
      </c>
      <c r="B4" s="40">
        <v>15</v>
      </c>
      <c r="C4" s="41">
        <v>8</v>
      </c>
      <c r="D4" s="40">
        <v>5</v>
      </c>
      <c r="E4" s="4"/>
      <c r="G4">
        <v>1</v>
      </c>
      <c r="H4" s="11" t="s">
        <v>161</v>
      </c>
    </row>
    <row r="5" spans="1:9" x14ac:dyDescent="0.25">
      <c r="A5" s="4" t="s">
        <v>155</v>
      </c>
      <c r="B5" s="4">
        <v>10</v>
      </c>
      <c r="C5" s="4">
        <v>20</v>
      </c>
      <c r="D5" s="4">
        <v>30</v>
      </c>
      <c r="E5" s="4"/>
      <c r="G5">
        <v>2</v>
      </c>
      <c r="H5" s="11" t="s">
        <v>162</v>
      </c>
    </row>
    <row r="6" spans="1:9" ht="15.75" x14ac:dyDescent="0.25">
      <c r="A6" s="31" t="s">
        <v>156</v>
      </c>
      <c r="B6" s="48">
        <v>0</v>
      </c>
      <c r="C6" s="48">
        <v>0</v>
      </c>
      <c r="D6" s="48">
        <v>0</v>
      </c>
      <c r="E6" s="31"/>
      <c r="G6">
        <v>3</v>
      </c>
      <c r="H6" s="45" t="s">
        <v>159</v>
      </c>
    </row>
    <row r="7" spans="1:9" ht="15.75" x14ac:dyDescent="0.25">
      <c r="A7" s="39" t="s">
        <v>153</v>
      </c>
      <c r="B7" s="4"/>
      <c r="C7" s="4"/>
      <c r="D7" s="4"/>
      <c r="E7" s="46">
        <f>B4*B6+C4*C6+D4*D6</f>
        <v>0</v>
      </c>
      <c r="G7">
        <v>4</v>
      </c>
      <c r="H7" s="45" t="s">
        <v>160</v>
      </c>
    </row>
    <row r="8" spans="1:9" x14ac:dyDescent="0.25">
      <c r="A8" s="39" t="s">
        <v>157</v>
      </c>
      <c r="B8" s="4"/>
      <c r="C8" s="4"/>
      <c r="D8" s="4"/>
      <c r="E8" s="47">
        <f>B3*B6 + C3*C6 + D3*D6</f>
        <v>0</v>
      </c>
      <c r="G8" s="49" t="s">
        <v>164</v>
      </c>
    </row>
    <row r="9" spans="1:9" x14ac:dyDescent="0.25">
      <c r="H9" s="10" t="s">
        <v>165</v>
      </c>
    </row>
    <row r="10" spans="1:9" x14ac:dyDescent="0.25">
      <c r="H10" s="10" t="s">
        <v>166</v>
      </c>
    </row>
    <row r="11" spans="1:9" x14ac:dyDescent="0.25">
      <c r="H11" s="10" t="s">
        <v>167</v>
      </c>
    </row>
    <row r="12" spans="1:9" x14ac:dyDescent="0.25">
      <c r="H12" s="10" t="s">
        <v>168</v>
      </c>
    </row>
    <row r="13" spans="1:9" ht="15.75" x14ac:dyDescent="0.25">
      <c r="A13" s="45" t="s">
        <v>159</v>
      </c>
      <c r="H13" s="10" t="s">
        <v>173</v>
      </c>
    </row>
    <row r="14" spans="1:9" ht="15.75" x14ac:dyDescent="0.25">
      <c r="A14" s="45" t="s">
        <v>160</v>
      </c>
      <c r="I14" s="10" t="s">
        <v>172</v>
      </c>
    </row>
    <row r="15" spans="1:9" x14ac:dyDescent="0.25">
      <c r="I15" s="10" t="s">
        <v>171</v>
      </c>
    </row>
    <row r="16" spans="1:9" x14ac:dyDescent="0.25">
      <c r="I16" s="10" t="s">
        <v>170</v>
      </c>
    </row>
    <row r="17" spans="8:9" x14ac:dyDescent="0.25">
      <c r="I17" s="10" t="s">
        <v>169</v>
      </c>
    </row>
    <row r="18" spans="8:9" x14ac:dyDescent="0.25">
      <c r="I18" s="10" t="s">
        <v>174</v>
      </c>
    </row>
    <row r="19" spans="8:9" x14ac:dyDescent="0.25">
      <c r="H19" s="10" t="s">
        <v>175</v>
      </c>
    </row>
    <row r="20" spans="8:9" x14ac:dyDescent="0.25">
      <c r="H20" s="10" t="s">
        <v>176</v>
      </c>
    </row>
  </sheetData>
  <scenarios current="0">
    <scenario name="поиск_решения _2" count="3" user="User" comment="Автор: User , 9/30/2025">
      <inputCells r="B6" val="0"/>
      <inputCells r="C6" val="0"/>
      <inputCells r="D6" val="0"/>
    </scenario>
  </scenario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CC78-3839-4505-8547-FDCD6A0470AD}">
  <dimension ref="A1:E16"/>
  <sheetViews>
    <sheetView workbookViewId="0">
      <selection activeCell="I33" sqref="I33"/>
    </sheetView>
  </sheetViews>
  <sheetFormatPr defaultRowHeight="15" x14ac:dyDescent="0.25"/>
  <cols>
    <col min="1" max="1" width="9.140625" customWidth="1"/>
    <col min="2" max="2" width="24.42578125" customWidth="1"/>
    <col min="3" max="3" width="16" customWidth="1"/>
  </cols>
  <sheetData>
    <row r="1" spans="1:5" ht="15.75" x14ac:dyDescent="0.25">
      <c r="A1" s="16" t="s">
        <v>3</v>
      </c>
      <c r="B1" s="7" t="s">
        <v>4</v>
      </c>
      <c r="C1" s="7"/>
      <c r="E1" s="1" t="s">
        <v>0</v>
      </c>
    </row>
    <row r="2" spans="1:5" x14ac:dyDescent="0.25">
      <c r="A2" s="4">
        <v>50000</v>
      </c>
      <c r="E2" s="2"/>
    </row>
    <row r="3" spans="1:5" x14ac:dyDescent="0.25">
      <c r="A3" s="4">
        <v>60000</v>
      </c>
      <c r="B3" t="s">
        <v>5</v>
      </c>
      <c r="C3">
        <v>70000</v>
      </c>
      <c r="D3">
        <v>1</v>
      </c>
      <c r="E3" s="14" t="s">
        <v>1</v>
      </c>
    </row>
    <row r="4" spans="1:5" x14ac:dyDescent="0.25">
      <c r="A4" s="4">
        <v>70000</v>
      </c>
      <c r="B4" t="s">
        <v>6</v>
      </c>
      <c r="C4">
        <v>7071.0678118654751</v>
      </c>
      <c r="D4">
        <v>2</v>
      </c>
      <c r="E4" s="15" t="s">
        <v>23</v>
      </c>
    </row>
    <row r="5" spans="1:5" x14ac:dyDescent="0.25">
      <c r="A5" s="4">
        <v>80000</v>
      </c>
      <c r="B5" t="s">
        <v>7</v>
      </c>
      <c r="C5">
        <v>70000</v>
      </c>
      <c r="D5">
        <v>3</v>
      </c>
      <c r="E5" s="15" t="s">
        <v>24</v>
      </c>
    </row>
    <row r="6" spans="1:5" x14ac:dyDescent="0.25">
      <c r="A6" s="4">
        <v>90000</v>
      </c>
      <c r="B6" t="s">
        <v>8</v>
      </c>
      <c r="C6" t="e">
        <v>#N/A</v>
      </c>
      <c r="D6">
        <v>4</v>
      </c>
      <c r="E6" s="15" t="s">
        <v>25</v>
      </c>
    </row>
    <row r="7" spans="1:5" ht="15.75" x14ac:dyDescent="0.25">
      <c r="B7" t="s">
        <v>9</v>
      </c>
      <c r="C7">
        <v>15811.388300841896</v>
      </c>
      <c r="E7" s="3" t="s">
        <v>2</v>
      </c>
    </row>
    <row r="8" spans="1:5" x14ac:dyDescent="0.25">
      <c r="B8" t="s">
        <v>10</v>
      </c>
      <c r="C8">
        <v>250000000</v>
      </c>
    </row>
    <row r="9" spans="1:5" x14ac:dyDescent="0.25">
      <c r="B9" t="s">
        <v>11</v>
      </c>
      <c r="C9">
        <v>-1.1999999999999984</v>
      </c>
    </row>
    <row r="10" spans="1:5" ht="15.75" x14ac:dyDescent="0.25">
      <c r="B10" t="s">
        <v>12</v>
      </c>
      <c r="C10">
        <v>0</v>
      </c>
      <c r="E10" s="1" t="s">
        <v>18</v>
      </c>
    </row>
    <row r="11" spans="1:5" x14ac:dyDescent="0.25">
      <c r="B11" t="s">
        <v>13</v>
      </c>
      <c r="C11">
        <v>40000</v>
      </c>
      <c r="E11" s="2"/>
    </row>
    <row r="12" spans="1:5" x14ac:dyDescent="0.25">
      <c r="B12" t="s">
        <v>14</v>
      </c>
      <c r="C12">
        <v>50000</v>
      </c>
      <c r="D12">
        <v>1</v>
      </c>
      <c r="E12" s="12" t="s">
        <v>20</v>
      </c>
    </row>
    <row r="13" spans="1:5" x14ac:dyDescent="0.25">
      <c r="B13" t="s">
        <v>15</v>
      </c>
      <c r="C13">
        <v>90000</v>
      </c>
      <c r="D13">
        <v>2</v>
      </c>
      <c r="E13" s="11" t="s">
        <v>19</v>
      </c>
    </row>
    <row r="14" spans="1:5" x14ac:dyDescent="0.25">
      <c r="B14" t="s">
        <v>16</v>
      </c>
      <c r="C14">
        <v>350000</v>
      </c>
      <c r="D14">
        <v>3</v>
      </c>
      <c r="E14" s="13" t="s">
        <v>22</v>
      </c>
    </row>
    <row r="15" spans="1:5" ht="15.75" thickBot="1" x14ac:dyDescent="0.3">
      <c r="B15" s="5" t="s">
        <v>17</v>
      </c>
      <c r="C15" s="5">
        <v>5</v>
      </c>
      <c r="D15">
        <v>4</v>
      </c>
      <c r="E15" s="11" t="s">
        <v>21</v>
      </c>
    </row>
    <row r="16" spans="1:5" x14ac:dyDescent="0.25">
      <c r="D16">
        <v>5</v>
      </c>
      <c r="E16" s="11" t="s">
        <v>26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5AFB-372B-4440-92A7-4B94D56239A0}">
  <dimension ref="A1:J40"/>
  <sheetViews>
    <sheetView zoomScale="85" zoomScaleNormal="85" workbookViewId="0">
      <selection activeCell="I33" sqref="I33"/>
    </sheetView>
  </sheetViews>
  <sheetFormatPr defaultRowHeight="15" x14ac:dyDescent="0.25"/>
  <cols>
    <col min="1" max="1" width="23.5703125" customWidth="1"/>
    <col min="2" max="2" width="11.28515625" customWidth="1"/>
    <col min="3" max="6" width="13.42578125" customWidth="1"/>
    <col min="7" max="9" width="9.28515625" bestFit="1" customWidth="1"/>
  </cols>
  <sheetData>
    <row r="1" spans="1:10" ht="43.5" customHeight="1" x14ac:dyDescent="0.25">
      <c r="A1" s="18" t="s">
        <v>27</v>
      </c>
      <c r="B1" s="18" t="s">
        <v>28</v>
      </c>
    </row>
    <row r="2" spans="1:10" ht="15.75" x14ac:dyDescent="0.25">
      <c r="A2" s="17">
        <v>1000</v>
      </c>
      <c r="B2" s="17">
        <v>10000</v>
      </c>
      <c r="G2" s="1" t="s">
        <v>29</v>
      </c>
    </row>
    <row r="3" spans="1:10" x14ac:dyDescent="0.25">
      <c r="A3" s="17">
        <v>2000</v>
      </c>
      <c r="B3" s="17">
        <v>15000</v>
      </c>
      <c r="G3" s="2"/>
    </row>
    <row r="4" spans="1:10" ht="15.75" x14ac:dyDescent="0.25">
      <c r="A4" s="17">
        <v>3000</v>
      </c>
      <c r="B4" s="17">
        <v>20000</v>
      </c>
      <c r="F4">
        <v>1</v>
      </c>
      <c r="G4" s="9" t="s">
        <v>33</v>
      </c>
    </row>
    <row r="5" spans="1:10" x14ac:dyDescent="0.25">
      <c r="A5" s="17">
        <v>4000</v>
      </c>
      <c r="B5" s="17">
        <v>25000</v>
      </c>
      <c r="F5">
        <v>2</v>
      </c>
      <c r="G5" s="10" t="s">
        <v>34</v>
      </c>
    </row>
    <row r="6" spans="1:10" ht="15.75" x14ac:dyDescent="0.25">
      <c r="A6" s="17">
        <v>5000</v>
      </c>
      <c r="B6" s="17">
        <v>30000</v>
      </c>
      <c r="F6">
        <v>3</v>
      </c>
      <c r="G6" s="19" t="s">
        <v>35</v>
      </c>
    </row>
    <row r="7" spans="1:10" x14ac:dyDescent="0.25">
      <c r="F7">
        <v>4</v>
      </c>
      <c r="G7" s="10" t="s">
        <v>30</v>
      </c>
    </row>
    <row r="8" spans="1:10" x14ac:dyDescent="0.25">
      <c r="F8">
        <v>5</v>
      </c>
      <c r="G8" s="10" t="s">
        <v>31</v>
      </c>
    </row>
    <row r="9" spans="1:10" x14ac:dyDescent="0.25">
      <c r="F9">
        <v>6</v>
      </c>
      <c r="G9" s="10" t="s">
        <v>32</v>
      </c>
    </row>
    <row r="11" spans="1:10" ht="15.75" x14ac:dyDescent="0.25">
      <c r="G11" s="8" t="s">
        <v>37</v>
      </c>
    </row>
    <row r="12" spans="1:10" x14ac:dyDescent="0.25">
      <c r="G12" t="s">
        <v>36</v>
      </c>
    </row>
    <row r="15" spans="1:10" ht="15.75" thickBot="1" x14ac:dyDescent="0.3">
      <c r="A15" t="s">
        <v>38</v>
      </c>
    </row>
    <row r="16" spans="1:10" x14ac:dyDescent="0.25">
      <c r="A16" s="20" t="s">
        <v>39</v>
      </c>
      <c r="B16" s="20"/>
      <c r="C16" s="21"/>
      <c r="D16" s="21"/>
      <c r="E16" s="21"/>
      <c r="F16" s="21"/>
      <c r="G16" s="21"/>
      <c r="H16" s="21"/>
      <c r="I16" s="21"/>
      <c r="J16" s="21"/>
    </row>
    <row r="17" spans="1:10" x14ac:dyDescent="0.25">
      <c r="A17" s="21" t="s">
        <v>40</v>
      </c>
      <c r="B17" s="21">
        <v>1</v>
      </c>
      <c r="C17" s="21"/>
      <c r="D17" s="21"/>
      <c r="E17" s="21"/>
      <c r="F17" s="21"/>
      <c r="G17" s="21"/>
      <c r="H17" s="21"/>
      <c r="I17" s="21"/>
      <c r="J17" s="21"/>
    </row>
    <row r="18" spans="1:10" x14ac:dyDescent="0.25">
      <c r="A18" s="21" t="s">
        <v>41</v>
      </c>
      <c r="B18" s="21">
        <v>1</v>
      </c>
      <c r="C18" s="21"/>
      <c r="D18" s="21"/>
      <c r="E18" s="21"/>
      <c r="F18" s="21"/>
      <c r="G18" s="21"/>
      <c r="H18" s="21"/>
      <c r="I18" s="21"/>
      <c r="J18" s="21"/>
    </row>
    <row r="19" spans="1:10" x14ac:dyDescent="0.25">
      <c r="A19" s="21" t="s">
        <v>42</v>
      </c>
      <c r="B19" s="21">
        <v>1</v>
      </c>
      <c r="C19" s="21"/>
      <c r="D19" s="21"/>
      <c r="E19" s="21"/>
      <c r="F19" s="21"/>
      <c r="G19" s="21"/>
      <c r="H19" s="21"/>
      <c r="I19" s="21"/>
      <c r="J19" s="21"/>
    </row>
    <row r="20" spans="1:10" x14ac:dyDescent="0.25">
      <c r="A20" s="21" t="s">
        <v>6</v>
      </c>
      <c r="B20" s="21">
        <v>2.6774799050835543E-12</v>
      </c>
      <c r="C20" s="21"/>
      <c r="D20" s="21"/>
      <c r="E20" s="21"/>
      <c r="F20" s="21"/>
      <c r="G20" s="21"/>
      <c r="H20" s="21"/>
      <c r="I20" s="21"/>
      <c r="J20" s="21"/>
    </row>
    <row r="21" spans="1:10" ht="15.75" thickBot="1" x14ac:dyDescent="0.3">
      <c r="A21" s="22" t="s">
        <v>43</v>
      </c>
      <c r="B21" s="22">
        <v>5</v>
      </c>
      <c r="C21" s="21"/>
      <c r="D21" s="21"/>
      <c r="E21" s="21"/>
      <c r="F21" s="21"/>
      <c r="G21" s="21"/>
      <c r="H21" s="21"/>
      <c r="I21" s="21"/>
      <c r="J21" s="21"/>
    </row>
    <row r="22" spans="1:10" x14ac:dyDescent="0.25">
      <c r="A22" s="21"/>
      <c r="B22" s="21"/>
      <c r="C22" s="21"/>
      <c r="D22" s="21"/>
      <c r="E22" s="21"/>
      <c r="F22" s="21"/>
      <c r="G22" s="21"/>
      <c r="H22" s="21"/>
      <c r="I22" s="21"/>
      <c r="J22" s="21"/>
    </row>
    <row r="23" spans="1:10" ht="15.75" thickBot="1" x14ac:dyDescent="0.3">
      <c r="A23" s="21" t="s">
        <v>44</v>
      </c>
      <c r="B23" s="21"/>
      <c r="C23" s="21"/>
      <c r="D23" s="21"/>
      <c r="E23" s="21"/>
      <c r="F23" s="21"/>
      <c r="G23" s="21"/>
      <c r="H23" s="21"/>
      <c r="I23" s="21"/>
      <c r="J23" s="21"/>
    </row>
    <row r="24" spans="1:10" x14ac:dyDescent="0.25">
      <c r="A24" s="23"/>
      <c r="B24" s="23" t="s">
        <v>49</v>
      </c>
      <c r="C24" s="23" t="s">
        <v>50</v>
      </c>
      <c r="D24" s="23" t="s">
        <v>51</v>
      </c>
      <c r="E24" s="23" t="s">
        <v>52</v>
      </c>
      <c r="F24" s="23" t="s">
        <v>53</v>
      </c>
      <c r="G24" s="21"/>
      <c r="H24" s="21"/>
      <c r="I24" s="21"/>
      <c r="J24" s="21"/>
    </row>
    <row r="25" spans="1:10" x14ac:dyDescent="0.25">
      <c r="A25" s="21" t="s">
        <v>45</v>
      </c>
      <c r="B25" s="21">
        <v>1</v>
      </c>
      <c r="C25" s="21">
        <v>250000000</v>
      </c>
      <c r="D25" s="21">
        <v>250000000</v>
      </c>
      <c r="E25" s="21">
        <v>3.4872860181191228E+31</v>
      </c>
      <c r="F25" s="21">
        <v>1.0708765122044985E-47</v>
      </c>
      <c r="G25" s="21"/>
      <c r="H25" s="21"/>
      <c r="I25" s="21"/>
      <c r="J25" s="21"/>
    </row>
    <row r="26" spans="1:10" x14ac:dyDescent="0.25">
      <c r="A26" s="21" t="s">
        <v>46</v>
      </c>
      <c r="B26" s="21">
        <v>3</v>
      </c>
      <c r="C26" s="21">
        <v>2.150669592637872E-23</v>
      </c>
      <c r="D26" s="21">
        <v>7.1688986421262394E-24</v>
      </c>
      <c r="E26" s="21"/>
      <c r="F26" s="21"/>
      <c r="G26" s="21"/>
      <c r="H26" s="21"/>
      <c r="I26" s="21"/>
      <c r="J26" s="21"/>
    </row>
    <row r="27" spans="1:10" ht="15.75" thickBot="1" x14ac:dyDescent="0.3">
      <c r="A27" s="22" t="s">
        <v>47</v>
      </c>
      <c r="B27" s="22">
        <v>4</v>
      </c>
      <c r="C27" s="22">
        <v>250000000</v>
      </c>
      <c r="D27" s="22"/>
      <c r="E27" s="22"/>
      <c r="F27" s="22"/>
      <c r="G27" s="21"/>
      <c r="H27" s="21"/>
      <c r="I27" s="21"/>
      <c r="J27" s="21"/>
    </row>
    <row r="28" spans="1:10" ht="15.75" thickBot="1" x14ac:dyDescent="0.3">
      <c r="A28" s="21"/>
      <c r="B28" s="21"/>
      <c r="C28" s="21"/>
      <c r="D28" s="21"/>
      <c r="E28" s="21"/>
      <c r="F28" s="21"/>
      <c r="G28" s="21"/>
      <c r="H28" s="21"/>
      <c r="I28" s="21"/>
      <c r="J28" s="21"/>
    </row>
    <row r="29" spans="1:10" x14ac:dyDescent="0.25">
      <c r="A29" s="24"/>
      <c r="B29" s="24" t="s">
        <v>54</v>
      </c>
      <c r="C29" s="24" t="s">
        <v>6</v>
      </c>
      <c r="D29" s="24" t="s">
        <v>55</v>
      </c>
      <c r="E29" s="24" t="s">
        <v>56</v>
      </c>
      <c r="F29" s="24" t="s">
        <v>57</v>
      </c>
      <c r="G29" s="24" t="s">
        <v>58</v>
      </c>
      <c r="H29" s="24" t="s">
        <v>59</v>
      </c>
      <c r="I29" s="24" t="s">
        <v>60</v>
      </c>
      <c r="J29" s="21"/>
    </row>
    <row r="30" spans="1:10" x14ac:dyDescent="0.25">
      <c r="A30" s="21" t="s">
        <v>48</v>
      </c>
      <c r="B30" s="21">
        <v>5000</v>
      </c>
      <c r="C30" s="21">
        <v>2.8081646152494093E-12</v>
      </c>
      <c r="D30" s="21">
        <v>1780522399879296.8</v>
      </c>
      <c r="E30" s="21">
        <v>3.9068651465654686E-46</v>
      </c>
      <c r="F30" s="21">
        <v>4999.9999999999909</v>
      </c>
      <c r="G30" s="21">
        <v>5000.0000000000091</v>
      </c>
      <c r="H30" s="21">
        <v>4999.9999999999909</v>
      </c>
      <c r="I30" s="21">
        <v>5000.0000000000091</v>
      </c>
      <c r="J30" s="21"/>
    </row>
    <row r="31" spans="1:10" ht="15.75" thickBot="1" x14ac:dyDescent="0.3">
      <c r="A31" s="22" t="s">
        <v>61</v>
      </c>
      <c r="B31" s="22">
        <v>5</v>
      </c>
      <c r="C31" s="22">
        <v>8.4669348893954772E-16</v>
      </c>
      <c r="D31" s="22">
        <v>5905324731222765</v>
      </c>
      <c r="E31" s="22">
        <v>1.0708765122044985E-47</v>
      </c>
      <c r="F31" s="22">
        <v>4.9999999999999973</v>
      </c>
      <c r="G31" s="22">
        <v>5.0000000000000027</v>
      </c>
      <c r="H31" s="22">
        <v>4.9999999999999973</v>
      </c>
      <c r="I31" s="22">
        <v>5.0000000000000027</v>
      </c>
      <c r="J31" s="21"/>
    </row>
    <row r="32" spans="1:10" x14ac:dyDescent="0.25">
      <c r="A32" s="21"/>
      <c r="B32" s="21"/>
      <c r="C32" s="21"/>
      <c r="D32" s="21"/>
      <c r="E32" s="21"/>
      <c r="F32" s="21"/>
      <c r="G32" s="21"/>
      <c r="H32" s="21"/>
      <c r="I32" s="21"/>
      <c r="J32" s="21"/>
    </row>
    <row r="33" spans="1:10" x14ac:dyDescent="0.25">
      <c r="B33" s="21"/>
      <c r="C33" s="21"/>
      <c r="D33" s="21"/>
      <c r="E33" s="21"/>
      <c r="F33" s="21"/>
      <c r="G33" s="21"/>
      <c r="H33" s="21"/>
      <c r="I33" s="21"/>
      <c r="J33" s="21"/>
    </row>
    <row r="34" spans="1:10" ht="15.75" thickBot="1" x14ac:dyDescent="0.3">
      <c r="A34" s="21" t="s">
        <v>62</v>
      </c>
      <c r="B34" s="21"/>
      <c r="C34" s="21"/>
      <c r="D34" s="21"/>
      <c r="E34" s="21"/>
      <c r="F34" s="21"/>
      <c r="G34" s="21"/>
      <c r="H34" s="21"/>
      <c r="I34" s="21"/>
      <c r="J34" s="21"/>
    </row>
    <row r="35" spans="1:10" x14ac:dyDescent="0.25">
      <c r="A35" s="23" t="s">
        <v>63</v>
      </c>
      <c r="B35" s="23" t="s">
        <v>64</v>
      </c>
      <c r="C35" s="23" t="s">
        <v>65</v>
      </c>
      <c r="D35" s="21"/>
      <c r="E35" s="21"/>
      <c r="F35" s="21"/>
      <c r="G35" s="21"/>
      <c r="H35" s="21"/>
      <c r="I35" s="21"/>
      <c r="J35" s="21"/>
    </row>
    <row r="36" spans="1:10" x14ac:dyDescent="0.25">
      <c r="A36" s="21">
        <v>1</v>
      </c>
      <c r="B36" s="21">
        <v>10000</v>
      </c>
      <c r="C36" s="21">
        <v>0</v>
      </c>
      <c r="D36" s="21"/>
      <c r="E36" s="21"/>
      <c r="F36" s="21"/>
      <c r="G36" s="21"/>
      <c r="H36" s="21"/>
      <c r="I36" s="21"/>
      <c r="J36" s="21"/>
    </row>
    <row r="37" spans="1:10" x14ac:dyDescent="0.25">
      <c r="A37" s="21">
        <v>2</v>
      </c>
      <c r="B37" s="21">
        <v>15000</v>
      </c>
      <c r="C37" s="21">
        <v>0</v>
      </c>
      <c r="D37" s="21"/>
      <c r="E37" s="21"/>
      <c r="F37" s="21"/>
      <c r="G37" s="21"/>
      <c r="H37" s="21"/>
      <c r="I37" s="21"/>
      <c r="J37" s="21"/>
    </row>
    <row r="38" spans="1:10" x14ac:dyDescent="0.25">
      <c r="A38" s="21">
        <v>3</v>
      </c>
      <c r="B38" s="21">
        <v>20000</v>
      </c>
      <c r="C38" s="21">
        <v>0</v>
      </c>
      <c r="D38" s="21"/>
      <c r="E38" s="21"/>
      <c r="F38" s="21"/>
      <c r="G38" s="21"/>
      <c r="H38" s="21"/>
      <c r="I38" s="21"/>
      <c r="J38" s="21"/>
    </row>
    <row r="39" spans="1:10" x14ac:dyDescent="0.25">
      <c r="A39" s="21">
        <v>4</v>
      </c>
      <c r="B39" s="21">
        <v>25000</v>
      </c>
      <c r="C39" s="21">
        <v>0</v>
      </c>
      <c r="D39" s="21"/>
      <c r="E39" s="21"/>
      <c r="F39" s="21"/>
      <c r="G39" s="21"/>
      <c r="H39" s="21"/>
      <c r="I39" s="21"/>
      <c r="J39" s="21"/>
    </row>
    <row r="40" spans="1:10" ht="15.75" thickBot="1" x14ac:dyDescent="0.3">
      <c r="A40" s="22">
        <v>5</v>
      </c>
      <c r="B40" s="22">
        <v>30000</v>
      </c>
      <c r="C40" s="22">
        <v>0</v>
      </c>
      <c r="D40" s="21"/>
      <c r="E40" s="21"/>
      <c r="F40" s="21"/>
      <c r="G40" s="21"/>
      <c r="H40" s="21"/>
      <c r="I40" s="21"/>
      <c r="J40"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7393C-7A34-4AD3-A104-FC76447BB61A}">
  <dimension ref="A1:M33"/>
  <sheetViews>
    <sheetView workbookViewId="0">
      <selection activeCell="E30" sqref="E30"/>
    </sheetView>
  </sheetViews>
  <sheetFormatPr defaultRowHeight="15" x14ac:dyDescent="0.25"/>
  <cols>
    <col min="1" max="1" width="34.140625" customWidth="1"/>
    <col min="2" max="2" width="13.7109375" customWidth="1"/>
    <col min="3" max="3" width="15.140625" customWidth="1"/>
    <col min="7" max="7" width="20.5703125" customWidth="1"/>
    <col min="11" max="11" width="12.5703125" customWidth="1"/>
    <col min="12" max="12" width="12.42578125" customWidth="1"/>
    <col min="13" max="13" width="16.140625" customWidth="1"/>
  </cols>
  <sheetData>
    <row r="1" spans="1:10" ht="24.75" x14ac:dyDescent="0.5">
      <c r="A1" s="16" t="s">
        <v>66</v>
      </c>
      <c r="B1" s="16" t="s">
        <v>67</v>
      </c>
      <c r="D1" s="4" t="s">
        <v>83</v>
      </c>
      <c r="E1" s="4" t="s">
        <v>84</v>
      </c>
      <c r="F1" s="4" t="s">
        <v>85</v>
      </c>
      <c r="J1" s="25" t="s">
        <v>68</v>
      </c>
    </row>
    <row r="2" spans="1:10" x14ac:dyDescent="0.25">
      <c r="A2" s="4">
        <v>80</v>
      </c>
      <c r="B2" s="4">
        <v>75</v>
      </c>
      <c r="D2" s="4">
        <v>40</v>
      </c>
      <c r="E2" s="4">
        <v>45</v>
      </c>
      <c r="F2" s="4">
        <v>50</v>
      </c>
    </row>
    <row r="3" spans="1:10" ht="15.75" x14ac:dyDescent="0.25">
      <c r="A3" s="4">
        <v>85</v>
      </c>
      <c r="B3" s="4">
        <v>80</v>
      </c>
      <c r="D3" s="4">
        <v>45</v>
      </c>
      <c r="E3" s="4">
        <v>50</v>
      </c>
      <c r="F3" s="4">
        <v>55</v>
      </c>
      <c r="I3" s="26" t="s">
        <v>69</v>
      </c>
    </row>
    <row r="4" spans="1:10" ht="15.75" x14ac:dyDescent="0.25">
      <c r="A4" s="4">
        <v>90</v>
      </c>
      <c r="B4" s="4">
        <v>85</v>
      </c>
      <c r="D4" s="4">
        <v>50</v>
      </c>
      <c r="E4" s="4">
        <v>55</v>
      </c>
      <c r="F4" s="4">
        <v>60</v>
      </c>
      <c r="H4">
        <v>1</v>
      </c>
      <c r="I4" s="9" t="s">
        <v>71</v>
      </c>
    </row>
    <row r="5" spans="1:10" x14ac:dyDescent="0.25">
      <c r="A5" s="4">
        <v>75</v>
      </c>
      <c r="B5" s="4">
        <v>70</v>
      </c>
      <c r="D5" s="4">
        <v>55</v>
      </c>
      <c r="E5" s="4">
        <v>60</v>
      </c>
      <c r="F5" s="4">
        <v>65</v>
      </c>
      <c r="H5">
        <v>2</v>
      </c>
      <c r="I5" s="11" t="s">
        <v>87</v>
      </c>
    </row>
    <row r="6" spans="1:10" ht="15.75" x14ac:dyDescent="0.25">
      <c r="A6" s="4">
        <v>80</v>
      </c>
      <c r="B6" s="4">
        <v>75</v>
      </c>
      <c r="H6">
        <v>4</v>
      </c>
      <c r="I6" s="19" t="s">
        <v>72</v>
      </c>
    </row>
    <row r="7" spans="1:10" x14ac:dyDescent="0.25">
      <c r="H7">
        <v>5</v>
      </c>
      <c r="I7" s="11" t="s">
        <v>88</v>
      </c>
    </row>
    <row r="11" spans="1:10" ht="15.75" x14ac:dyDescent="0.25">
      <c r="I11" s="26" t="s">
        <v>86</v>
      </c>
    </row>
    <row r="12" spans="1:10" ht="15.75" x14ac:dyDescent="0.25">
      <c r="A12" t="s">
        <v>73</v>
      </c>
      <c r="H12">
        <v>1</v>
      </c>
      <c r="I12" s="9" t="s">
        <v>71</v>
      </c>
    </row>
    <row r="13" spans="1:10" ht="15.75" thickBot="1" x14ac:dyDescent="0.3">
      <c r="H13">
        <v>2</v>
      </c>
      <c r="I13" s="11" t="s">
        <v>70</v>
      </c>
    </row>
    <row r="14" spans="1:10" ht="15.75" x14ac:dyDescent="0.25">
      <c r="A14" s="6"/>
      <c r="B14" s="6" t="s">
        <v>74</v>
      </c>
      <c r="C14" s="6" t="s">
        <v>75</v>
      </c>
      <c r="H14">
        <v>3</v>
      </c>
      <c r="I14" s="19" t="s">
        <v>72</v>
      </c>
    </row>
    <row r="15" spans="1:10" x14ac:dyDescent="0.25">
      <c r="A15" t="s">
        <v>5</v>
      </c>
      <c r="B15">
        <v>82</v>
      </c>
      <c r="C15">
        <v>77</v>
      </c>
      <c r="H15">
        <v>4</v>
      </c>
      <c r="I15" s="11" t="s">
        <v>88</v>
      </c>
    </row>
    <row r="16" spans="1:10" x14ac:dyDescent="0.25">
      <c r="A16" t="s">
        <v>76</v>
      </c>
      <c r="B16">
        <v>32.5</v>
      </c>
      <c r="C16">
        <v>32.5</v>
      </c>
    </row>
    <row r="17" spans="1:13" x14ac:dyDescent="0.25">
      <c r="A17" t="s">
        <v>43</v>
      </c>
      <c r="B17">
        <v>5</v>
      </c>
      <c r="C17">
        <v>5</v>
      </c>
    </row>
    <row r="18" spans="1:13" x14ac:dyDescent="0.25">
      <c r="A18" t="s">
        <v>77</v>
      </c>
      <c r="B18">
        <v>1.0000000000000002</v>
      </c>
    </row>
    <row r="19" spans="1:13" x14ac:dyDescent="0.25">
      <c r="A19" t="s">
        <v>78</v>
      </c>
      <c r="B19">
        <v>0</v>
      </c>
      <c r="G19" t="s">
        <v>89</v>
      </c>
    </row>
    <row r="20" spans="1:13" x14ac:dyDescent="0.25">
      <c r="A20" t="s">
        <v>49</v>
      </c>
      <c r="B20">
        <v>4</v>
      </c>
    </row>
    <row r="21" spans="1:13" ht="15.75" thickBot="1" x14ac:dyDescent="0.3">
      <c r="A21" t="s">
        <v>55</v>
      </c>
      <c r="B21" t="e">
        <v>#DIV/0!</v>
      </c>
      <c r="G21" t="s">
        <v>90</v>
      </c>
    </row>
    <row r="22" spans="1:13" x14ac:dyDescent="0.25">
      <c r="A22" t="s">
        <v>79</v>
      </c>
      <c r="B22" t="e">
        <v>#DIV/0!</v>
      </c>
      <c r="G22" s="6" t="s">
        <v>91</v>
      </c>
      <c r="H22" s="6" t="s">
        <v>17</v>
      </c>
      <c r="I22" s="6" t="s">
        <v>16</v>
      </c>
      <c r="J22" s="6" t="s">
        <v>5</v>
      </c>
      <c r="K22" s="6" t="s">
        <v>76</v>
      </c>
    </row>
    <row r="23" spans="1:13" x14ac:dyDescent="0.25">
      <c r="A23" t="s">
        <v>80</v>
      </c>
      <c r="B23" t="e">
        <v>#DIV/0!</v>
      </c>
      <c r="G23" t="s">
        <v>92</v>
      </c>
      <c r="H23">
        <v>4</v>
      </c>
      <c r="I23">
        <v>190</v>
      </c>
      <c r="J23">
        <v>47.5</v>
      </c>
      <c r="K23">
        <v>41.666666666666664</v>
      </c>
    </row>
    <row r="24" spans="1:13" x14ac:dyDescent="0.25">
      <c r="A24" t="s">
        <v>81</v>
      </c>
      <c r="B24" t="e">
        <v>#DIV/0!</v>
      </c>
      <c r="G24" t="s">
        <v>93</v>
      </c>
      <c r="H24">
        <v>4</v>
      </c>
      <c r="I24">
        <v>210</v>
      </c>
      <c r="J24">
        <v>52.5</v>
      </c>
      <c r="K24">
        <v>41.666666666666664</v>
      </c>
    </row>
    <row r="25" spans="1:13" ht="15.75" thickBot="1" x14ac:dyDescent="0.3">
      <c r="A25" s="5" t="s">
        <v>82</v>
      </c>
      <c r="B25" s="5" t="e">
        <v>#DIV/0!</v>
      </c>
      <c r="C25" s="5"/>
      <c r="G25" s="5" t="s">
        <v>94</v>
      </c>
      <c r="H25" s="5">
        <v>4</v>
      </c>
      <c r="I25" s="5">
        <v>230</v>
      </c>
      <c r="J25" s="5">
        <v>57.5</v>
      </c>
      <c r="K25" s="5">
        <v>41.666666666666664</v>
      </c>
    </row>
    <row r="28" spans="1:13" ht="15.75" thickBot="1" x14ac:dyDescent="0.3">
      <c r="G28" t="s">
        <v>44</v>
      </c>
    </row>
    <row r="29" spans="1:13" x14ac:dyDescent="0.25">
      <c r="G29" s="6" t="s">
        <v>95</v>
      </c>
      <c r="H29" s="6" t="s">
        <v>50</v>
      </c>
      <c r="I29" s="6" t="s">
        <v>49</v>
      </c>
      <c r="J29" s="6" t="s">
        <v>51</v>
      </c>
      <c r="K29" s="6" t="s">
        <v>52</v>
      </c>
      <c r="L29" s="6" t="s">
        <v>56</v>
      </c>
      <c r="M29" s="6" t="s">
        <v>96</v>
      </c>
    </row>
    <row r="30" spans="1:13" x14ac:dyDescent="0.25">
      <c r="G30" t="s">
        <v>97</v>
      </c>
      <c r="H30">
        <v>200</v>
      </c>
      <c r="I30">
        <v>2</v>
      </c>
      <c r="J30">
        <v>100</v>
      </c>
      <c r="K30">
        <v>2.4000000000000004</v>
      </c>
      <c r="L30">
        <v>0.14609501712594633</v>
      </c>
      <c r="M30">
        <v>4.2564947290937507</v>
      </c>
    </row>
    <row r="31" spans="1:13" x14ac:dyDescent="0.25">
      <c r="G31" t="s">
        <v>98</v>
      </c>
      <c r="H31">
        <v>375</v>
      </c>
      <c r="I31">
        <v>9</v>
      </c>
      <c r="J31">
        <v>41.666666666666664</v>
      </c>
    </row>
    <row r="33" spans="7:13" ht="15.75" thickBot="1" x14ac:dyDescent="0.3">
      <c r="G33" s="5" t="s">
        <v>47</v>
      </c>
      <c r="H33" s="5">
        <v>575</v>
      </c>
      <c r="I33" s="5">
        <v>11</v>
      </c>
      <c r="J33" s="5"/>
      <c r="K33" s="5"/>
      <c r="L33" s="5"/>
      <c r="M33" s="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50E6B-7F90-4203-8158-A87D6389A389}">
  <dimension ref="A1:R32"/>
  <sheetViews>
    <sheetView workbookViewId="0">
      <selection activeCell="L15" sqref="L15"/>
    </sheetView>
  </sheetViews>
  <sheetFormatPr defaultRowHeight="15" x14ac:dyDescent="0.25"/>
  <cols>
    <col min="1" max="1" width="25.42578125" customWidth="1"/>
  </cols>
  <sheetData>
    <row r="1" spans="1:12" ht="22.5" x14ac:dyDescent="0.45">
      <c r="K1" s="32" t="s">
        <v>124</v>
      </c>
    </row>
    <row r="2" spans="1:12" x14ac:dyDescent="0.25">
      <c r="A2" s="4" t="s">
        <v>105</v>
      </c>
      <c r="B2" s="4" t="s">
        <v>106</v>
      </c>
      <c r="C2" s="4" t="s">
        <v>107</v>
      </c>
      <c r="D2" s="4" t="s">
        <v>108</v>
      </c>
      <c r="E2" s="4" t="s">
        <v>109</v>
      </c>
      <c r="F2" s="4" t="s">
        <v>47</v>
      </c>
    </row>
    <row r="3" spans="1:12" x14ac:dyDescent="0.25">
      <c r="A3" s="4" t="s">
        <v>110</v>
      </c>
      <c r="B3" s="4">
        <v>0.9</v>
      </c>
      <c r="C3" s="4">
        <v>1.1000000000000001</v>
      </c>
      <c r="D3" s="4">
        <v>0.8</v>
      </c>
      <c r="E3" s="4">
        <v>1.2</v>
      </c>
      <c r="F3" s="4"/>
      <c r="J3" t="s">
        <v>125</v>
      </c>
    </row>
    <row r="4" spans="1:12" x14ac:dyDescent="0.25">
      <c r="A4" s="4"/>
      <c r="B4" s="4"/>
      <c r="C4" s="4"/>
      <c r="D4" s="4"/>
      <c r="E4" s="4"/>
      <c r="F4" s="4"/>
    </row>
    <row r="5" spans="1:12" x14ac:dyDescent="0.25">
      <c r="A5" s="37" t="s">
        <v>111</v>
      </c>
      <c r="B5" s="30">
        <f>35*B3*(B11+3000)^0.5</f>
        <v>3192.7332025632281</v>
      </c>
      <c r="C5" s="30">
        <f t="shared" ref="C5:F5" si="0">35*C3*(C11+3000)^0.5</f>
        <v>4769.390697888226</v>
      </c>
      <c r="D5" s="30">
        <f t="shared" si="0"/>
        <v>2522.6443891024519</v>
      </c>
      <c r="E5" s="30">
        <f t="shared" si="0"/>
        <v>5675.9866392490139</v>
      </c>
      <c r="F5" s="30">
        <f>SUM(B5:E5)</f>
        <v>16160.754928802919</v>
      </c>
      <c r="J5">
        <v>1</v>
      </c>
      <c r="K5" s="10" t="s">
        <v>126</v>
      </c>
    </row>
    <row r="6" spans="1:12" x14ac:dyDescent="0.25">
      <c r="A6" s="28" t="s">
        <v>112</v>
      </c>
      <c r="B6" s="30">
        <f>B5*$B$18</f>
        <v>127709.32810252912</v>
      </c>
      <c r="C6" s="30">
        <f t="shared" ref="C6:E6" si="1">C5*$B$18</f>
        <v>190775.62791552904</v>
      </c>
      <c r="D6" s="30">
        <f t="shared" si="1"/>
        <v>100905.77556409808</v>
      </c>
      <c r="E6" s="30">
        <f t="shared" si="1"/>
        <v>227039.46556996056</v>
      </c>
      <c r="F6" s="30">
        <f>SUM(B6:E6)</f>
        <v>646430.1971521168</v>
      </c>
      <c r="J6">
        <v>2</v>
      </c>
      <c r="K6" s="10" t="s">
        <v>180</v>
      </c>
    </row>
    <row r="7" spans="1:12" x14ac:dyDescent="0.25">
      <c r="A7" s="37" t="s">
        <v>113</v>
      </c>
      <c r="B7" s="30">
        <f>B5*$B$19</f>
        <v>79818.330064080699</v>
      </c>
      <c r="C7" s="30">
        <f t="shared" ref="C7:E7" si="2">C5*$B$19</f>
        <v>119234.76744720565</v>
      </c>
      <c r="D7" s="30">
        <f t="shared" si="2"/>
        <v>63066.109727561299</v>
      </c>
      <c r="E7" s="30">
        <f t="shared" si="2"/>
        <v>141899.66598122535</v>
      </c>
      <c r="F7" s="30">
        <f>SUM(B7:E7)</f>
        <v>404018.873220073</v>
      </c>
      <c r="J7">
        <v>3</v>
      </c>
      <c r="K7" s="10" t="s">
        <v>127</v>
      </c>
    </row>
    <row r="8" spans="1:12" x14ac:dyDescent="0.25">
      <c r="A8" s="37" t="s">
        <v>114</v>
      </c>
      <c r="B8" s="30">
        <f>B6-B7</f>
        <v>47890.998038448422</v>
      </c>
      <c r="C8" s="30">
        <f t="shared" ref="C8:E8" si="3">C6-C7</f>
        <v>71540.860468323386</v>
      </c>
      <c r="D8" s="30">
        <f t="shared" si="3"/>
        <v>37839.665836536777</v>
      </c>
      <c r="E8" s="30">
        <f t="shared" si="3"/>
        <v>85139.799588735215</v>
      </c>
      <c r="F8" s="30">
        <f>SUM(B8:E8)</f>
        <v>242411.3239320438</v>
      </c>
      <c r="J8">
        <v>4</v>
      </c>
      <c r="K8" s="10" t="s">
        <v>133</v>
      </c>
    </row>
    <row r="9" spans="1:12" x14ac:dyDescent="0.25">
      <c r="A9" s="4"/>
      <c r="B9" s="4"/>
      <c r="C9" s="4"/>
      <c r="D9" s="4"/>
      <c r="E9" s="4"/>
      <c r="F9" s="4"/>
      <c r="K9" s="10"/>
      <c r="L9" t="s">
        <v>128</v>
      </c>
    </row>
    <row r="10" spans="1:12" x14ac:dyDescent="0.25">
      <c r="A10" s="4" t="s">
        <v>115</v>
      </c>
      <c r="B10" s="4">
        <v>8000</v>
      </c>
      <c r="C10" s="4">
        <v>8000</v>
      </c>
      <c r="D10" s="4">
        <v>9000</v>
      </c>
      <c r="E10" s="4">
        <v>9000</v>
      </c>
      <c r="F10" s="4">
        <v>34000</v>
      </c>
      <c r="K10" s="10"/>
      <c r="L10" t="s">
        <v>182</v>
      </c>
    </row>
    <row r="11" spans="1:12" x14ac:dyDescent="0.25">
      <c r="A11" s="29" t="s">
        <v>116</v>
      </c>
      <c r="B11" s="51">
        <v>7273.1623106572406</v>
      </c>
      <c r="C11" s="51">
        <v>12346.32324446128</v>
      </c>
      <c r="D11" s="51">
        <v>5117.0085636097983</v>
      </c>
      <c r="E11" s="51">
        <v>15263.50585540437</v>
      </c>
      <c r="F11" s="52">
        <f>SUM(B11:E11)</f>
        <v>39999.99997413269</v>
      </c>
      <c r="K11" s="10"/>
      <c r="L11" t="s">
        <v>134</v>
      </c>
    </row>
    <row r="12" spans="1:12" x14ac:dyDescent="0.25">
      <c r="A12" s="37" t="s">
        <v>117</v>
      </c>
      <c r="B12" s="30">
        <f xml:space="preserve"> 0.15*B6</f>
        <v>19156.399215379366</v>
      </c>
      <c r="C12" s="30">
        <f t="shared" ref="C12:E12" si="4" xml:space="preserve"> 0.15*C6</f>
        <v>28616.344187329356</v>
      </c>
      <c r="D12" s="30">
        <f t="shared" si="4"/>
        <v>15135.866334614711</v>
      </c>
      <c r="E12" s="30">
        <f t="shared" si="4"/>
        <v>34055.919835494082</v>
      </c>
      <c r="F12" s="30">
        <f>SUM(B12:E12)</f>
        <v>96964.529572817526</v>
      </c>
      <c r="J12">
        <v>5</v>
      </c>
      <c r="K12" s="10" t="s">
        <v>135</v>
      </c>
    </row>
    <row r="13" spans="1:12" x14ac:dyDescent="0.25">
      <c r="A13" s="28" t="s">
        <v>118</v>
      </c>
      <c r="B13" s="30">
        <f>SUM(B10:B12)</f>
        <v>34429.561526036603</v>
      </c>
      <c r="C13" s="30">
        <f t="shared" ref="C13:E13" si="5">SUM(C10:C12)</f>
        <v>48962.667431790636</v>
      </c>
      <c r="D13" s="30">
        <f t="shared" si="5"/>
        <v>29252.874898224509</v>
      </c>
      <c r="E13" s="30">
        <f t="shared" si="5"/>
        <v>58319.425690898453</v>
      </c>
      <c r="F13" s="30">
        <f>SUM(B13:E13)</f>
        <v>170964.52954695019</v>
      </c>
      <c r="K13" t="s">
        <v>138</v>
      </c>
    </row>
    <row r="14" spans="1:12" x14ac:dyDescent="0.25">
      <c r="A14" s="4"/>
      <c r="B14" s="4"/>
      <c r="C14" s="4"/>
      <c r="D14" s="4"/>
      <c r="E14" s="4"/>
      <c r="F14" s="4"/>
      <c r="L14" t="s">
        <v>139</v>
      </c>
    </row>
    <row r="15" spans="1:12" x14ac:dyDescent="0.25">
      <c r="A15" s="36" t="s">
        <v>119</v>
      </c>
      <c r="B15" s="35">
        <f>B8-B13</f>
        <v>13461.436512411819</v>
      </c>
      <c r="C15" s="35">
        <f t="shared" ref="C15:E15" si="6">C8-C13</f>
        <v>22578.19303653275</v>
      </c>
      <c r="D15" s="35">
        <f t="shared" si="6"/>
        <v>8586.7909383122678</v>
      </c>
      <c r="E15" s="35">
        <f t="shared" si="6"/>
        <v>26820.373897836762</v>
      </c>
      <c r="F15" s="35">
        <f>SUM(B15:E15)</f>
        <v>71446.794385093599</v>
      </c>
    </row>
    <row r="16" spans="1:12" x14ac:dyDescent="0.25">
      <c r="A16" s="4" t="s">
        <v>120</v>
      </c>
      <c r="B16" s="27">
        <f>B15/B6</f>
        <v>0.10540683842298934</v>
      </c>
      <c r="C16" s="27">
        <f t="shared" ref="C16:F16" si="7">C15/C6</f>
        <v>0.11834946257668638</v>
      </c>
      <c r="D16" s="27">
        <f t="shared" si="7"/>
        <v>8.5097120460242689E-2</v>
      </c>
      <c r="E16" s="27">
        <f t="shared" si="7"/>
        <v>0.1181308889646424</v>
      </c>
      <c r="F16" s="27">
        <f t="shared" si="7"/>
        <v>0.11052514981486991</v>
      </c>
    </row>
    <row r="18" spans="1:18" x14ac:dyDescent="0.25">
      <c r="A18" s="4" t="s">
        <v>130</v>
      </c>
      <c r="B18" s="50">
        <v>40</v>
      </c>
      <c r="Q18" s="34"/>
      <c r="R18" s="34"/>
    </row>
    <row r="19" spans="1:18" x14ac:dyDescent="0.25">
      <c r="A19" s="4" t="s">
        <v>121</v>
      </c>
      <c r="B19" s="50">
        <v>25</v>
      </c>
      <c r="Q19" s="34"/>
      <c r="R19" s="34"/>
    </row>
    <row r="20" spans="1:18" x14ac:dyDescent="0.25">
      <c r="Q20" s="34"/>
      <c r="R20" s="34"/>
    </row>
    <row r="21" spans="1:18" x14ac:dyDescent="0.25">
      <c r="Q21" s="34"/>
      <c r="R21" s="34"/>
    </row>
    <row r="22" spans="1:18" x14ac:dyDescent="0.25">
      <c r="A22" s="10" t="s">
        <v>140</v>
      </c>
      <c r="B22" s="10" t="s">
        <v>122</v>
      </c>
    </row>
    <row r="23" spans="1:18" x14ac:dyDescent="0.25">
      <c r="A23" s="29" t="s">
        <v>112</v>
      </c>
      <c r="B23" s="10" t="s">
        <v>179</v>
      </c>
      <c r="F23" s="10" t="s">
        <v>131</v>
      </c>
    </row>
    <row r="24" spans="1:18" x14ac:dyDescent="0.25">
      <c r="A24" s="10" t="s">
        <v>121</v>
      </c>
      <c r="B24" s="10" t="s">
        <v>178</v>
      </c>
      <c r="C24" s="10"/>
      <c r="D24" s="10"/>
      <c r="E24" s="10"/>
      <c r="F24" s="10" t="s">
        <v>145</v>
      </c>
      <c r="G24" s="10"/>
    </row>
    <row r="25" spans="1:18" x14ac:dyDescent="0.25">
      <c r="A25" s="10" t="s">
        <v>114</v>
      </c>
      <c r="B25" s="10" t="s">
        <v>136</v>
      </c>
      <c r="C25" s="10"/>
      <c r="D25" s="10"/>
      <c r="E25" s="10"/>
      <c r="F25" s="10" t="s">
        <v>137</v>
      </c>
    </row>
    <row r="26" spans="1:18" x14ac:dyDescent="0.25">
      <c r="A26" s="53" t="s">
        <v>116</v>
      </c>
      <c r="B26" s="54">
        <v>0</v>
      </c>
      <c r="F26" s="10" t="s">
        <v>181</v>
      </c>
    </row>
    <row r="27" spans="1:18" x14ac:dyDescent="0.25">
      <c r="A27" s="10" t="s">
        <v>117</v>
      </c>
      <c r="B27" s="10" t="s">
        <v>123</v>
      </c>
      <c r="F27" s="10" t="s">
        <v>132</v>
      </c>
    </row>
    <row r="28" spans="1:18" x14ac:dyDescent="0.25">
      <c r="A28" s="10" t="s">
        <v>118</v>
      </c>
      <c r="B28" s="10" t="s">
        <v>141</v>
      </c>
      <c r="C28" s="10"/>
      <c r="D28" s="10"/>
      <c r="E28" s="10"/>
      <c r="F28" s="10" t="s">
        <v>142</v>
      </c>
    </row>
    <row r="30" spans="1:18" x14ac:dyDescent="0.25">
      <c r="A30" s="10" t="s">
        <v>119</v>
      </c>
      <c r="B30" s="10" t="s">
        <v>143</v>
      </c>
      <c r="F30" s="10" t="s">
        <v>144</v>
      </c>
    </row>
    <row r="31" spans="1:18" x14ac:dyDescent="0.25">
      <c r="A31" s="10" t="s">
        <v>120</v>
      </c>
      <c r="B31" s="10" t="s">
        <v>177</v>
      </c>
    </row>
    <row r="32" spans="1:18" x14ac:dyDescent="0.25">
      <c r="A32" s="10"/>
      <c r="B32" s="10"/>
      <c r="D32" s="33"/>
      <c r="F32" s="1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CC998-AD0C-4E4F-B142-1BF75BFA47FA}">
  <dimension ref="A1:I20"/>
  <sheetViews>
    <sheetView tabSelected="1" workbookViewId="0">
      <selection activeCell="Q20" sqref="Q20"/>
    </sheetView>
  </sheetViews>
  <sheetFormatPr defaultRowHeight="15" x14ac:dyDescent="0.25"/>
  <cols>
    <col min="1" max="1" width="18.140625" customWidth="1"/>
    <col min="2" max="2" width="19.85546875" customWidth="1"/>
    <col min="3" max="3" width="16.42578125" customWidth="1"/>
    <col min="4" max="4" width="14.7109375" customWidth="1"/>
    <col min="6" max="6" width="15.5703125" customWidth="1"/>
  </cols>
  <sheetData>
    <row r="1" spans="1:9" ht="61.5" customHeight="1" x14ac:dyDescent="0.25">
      <c r="A1" s="42" t="s">
        <v>158</v>
      </c>
      <c r="B1" s="43"/>
      <c r="C1" s="43"/>
      <c r="D1" s="43"/>
      <c r="E1" s="43"/>
      <c r="I1" s="44" t="s">
        <v>151</v>
      </c>
    </row>
    <row r="2" spans="1:9" ht="30" customHeight="1" x14ac:dyDescent="0.25">
      <c r="A2" s="4"/>
      <c r="B2" s="40" t="s">
        <v>147</v>
      </c>
      <c r="C2" s="41" t="s">
        <v>148</v>
      </c>
      <c r="D2" s="40" t="s">
        <v>149</v>
      </c>
      <c r="E2" s="4" t="s">
        <v>154</v>
      </c>
      <c r="G2" s="38" t="s">
        <v>183</v>
      </c>
    </row>
    <row r="3" spans="1:9" ht="27" customHeight="1" x14ac:dyDescent="0.25">
      <c r="A3" s="39" t="s">
        <v>150</v>
      </c>
      <c r="B3" s="40">
        <v>1000</v>
      </c>
      <c r="C3" s="41">
        <v>500</v>
      </c>
      <c r="D3" s="40">
        <v>300</v>
      </c>
      <c r="E3" s="4"/>
      <c r="G3" s="49" t="s">
        <v>163</v>
      </c>
    </row>
    <row r="4" spans="1:9" ht="28.5" customHeight="1" x14ac:dyDescent="0.25">
      <c r="A4" s="39" t="s">
        <v>152</v>
      </c>
      <c r="B4" s="40">
        <v>15</v>
      </c>
      <c r="C4" s="41">
        <v>8</v>
      </c>
      <c r="D4" s="40">
        <v>5</v>
      </c>
      <c r="E4" s="4"/>
      <c r="G4">
        <v>1</v>
      </c>
      <c r="H4" s="11" t="s">
        <v>161</v>
      </c>
    </row>
    <row r="5" spans="1:9" x14ac:dyDescent="0.25">
      <c r="A5" s="4" t="s">
        <v>155</v>
      </c>
      <c r="B5" s="4">
        <v>10</v>
      </c>
      <c r="C5" s="4">
        <v>20</v>
      </c>
      <c r="D5" s="4">
        <v>30</v>
      </c>
      <c r="E5" s="4"/>
      <c r="G5">
        <v>2</v>
      </c>
      <c r="H5" s="11" t="s">
        <v>162</v>
      </c>
    </row>
    <row r="6" spans="1:9" ht="15.75" x14ac:dyDescent="0.25">
      <c r="A6" s="31" t="s">
        <v>156</v>
      </c>
      <c r="B6" s="48">
        <v>9.4999999999999982</v>
      </c>
      <c r="C6" s="48">
        <v>8</v>
      </c>
      <c r="D6" s="48">
        <v>5</v>
      </c>
      <c r="E6" s="31"/>
      <c r="G6">
        <v>3</v>
      </c>
      <c r="H6" s="45" t="s">
        <v>159</v>
      </c>
    </row>
    <row r="7" spans="1:9" ht="15.75" x14ac:dyDescent="0.25">
      <c r="A7" s="39" t="s">
        <v>153</v>
      </c>
      <c r="B7" s="4"/>
      <c r="C7" s="4"/>
      <c r="D7" s="4"/>
      <c r="E7" s="46">
        <f>B4*B6+C4*C6+D4*D6</f>
        <v>231.49999999999997</v>
      </c>
      <c r="G7">
        <v>4</v>
      </c>
      <c r="H7" s="45" t="s">
        <v>160</v>
      </c>
    </row>
    <row r="8" spans="1:9" x14ac:dyDescent="0.25">
      <c r="A8" s="39" t="s">
        <v>157</v>
      </c>
      <c r="B8" s="4"/>
      <c r="C8" s="4"/>
      <c r="D8" s="4"/>
      <c r="E8" s="47">
        <f>B3*B6 + C3*C6 + D3*D6</f>
        <v>14999.999999999998</v>
      </c>
      <c r="G8" s="49" t="s">
        <v>164</v>
      </c>
    </row>
    <row r="9" spans="1:9" x14ac:dyDescent="0.25">
      <c r="H9" s="10" t="s">
        <v>165</v>
      </c>
    </row>
    <row r="10" spans="1:9" x14ac:dyDescent="0.25">
      <c r="H10" s="10" t="s">
        <v>166</v>
      </c>
    </row>
    <row r="11" spans="1:9" x14ac:dyDescent="0.25">
      <c r="H11" s="10" t="s">
        <v>167</v>
      </c>
    </row>
    <row r="12" spans="1:9" x14ac:dyDescent="0.25">
      <c r="H12" s="10" t="s">
        <v>168</v>
      </c>
    </row>
    <row r="13" spans="1:9" ht="15.75" x14ac:dyDescent="0.25">
      <c r="A13" s="45" t="s">
        <v>159</v>
      </c>
      <c r="H13" s="10" t="s">
        <v>173</v>
      </c>
    </row>
    <row r="14" spans="1:9" ht="15.75" x14ac:dyDescent="0.25">
      <c r="A14" s="45" t="s">
        <v>160</v>
      </c>
      <c r="I14" s="10" t="s">
        <v>172</v>
      </c>
    </row>
    <row r="15" spans="1:9" x14ac:dyDescent="0.25">
      <c r="I15" s="10" t="s">
        <v>171</v>
      </c>
    </row>
    <row r="16" spans="1:9" x14ac:dyDescent="0.25">
      <c r="I16" s="10" t="s">
        <v>170</v>
      </c>
    </row>
    <row r="17" spans="8:9" x14ac:dyDescent="0.25">
      <c r="I17" s="10" t="s">
        <v>169</v>
      </c>
    </row>
    <row r="18" spans="8:9" x14ac:dyDescent="0.25">
      <c r="I18" s="10" t="s">
        <v>174</v>
      </c>
    </row>
    <row r="19" spans="8:9" x14ac:dyDescent="0.25">
      <c r="H19" s="10" t="s">
        <v>175</v>
      </c>
    </row>
    <row r="20" spans="8:9" x14ac:dyDescent="0.25">
      <c r="H20" s="10" t="s">
        <v>176</v>
      </c>
    </row>
  </sheetData>
  <scenarios current="0">
    <scenario name="поиск_решения _2" count="3" user="User" comment="Автор: User , 9/30/2025">
      <inputCells r="B6" val="0"/>
      <inputCells r="C6" val="0"/>
      <inputCells r="D6" val="0"/>
    </scenario>
  </scenario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описат_ст</vt:lpstr>
      <vt:lpstr>регрессия</vt:lpstr>
      <vt:lpstr>тест</vt:lpstr>
      <vt:lpstr>Поиск_реш_1_чистое</vt:lpstr>
      <vt:lpstr>поиск_реш_2_чистый</vt:lpstr>
      <vt:lpstr>описат_ст-готов</vt:lpstr>
      <vt:lpstr>регрессия_готов</vt:lpstr>
      <vt:lpstr>тест_готов</vt:lpstr>
      <vt:lpstr>Поиск_реш_1_готово</vt:lpstr>
      <vt:lpstr>поиск_реш_2_готово_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Людмила Герськина</dc:creator>
  <cp:lastModifiedBy>Людмила Герськина</cp:lastModifiedBy>
  <dcterms:created xsi:type="dcterms:W3CDTF">2025-09-22T23:21:36Z</dcterms:created>
  <dcterms:modified xsi:type="dcterms:W3CDTF">2025-09-29T22:26:52Z</dcterms:modified>
</cp:coreProperties>
</file>