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"/>
    </mc:Choice>
  </mc:AlternateContent>
  <xr:revisionPtr revIDLastSave="0" documentId="13_ncr:1_{3F862AF3-84FD-47CE-B829-08A705CBDDA8}" xr6:coauthVersionLast="47" xr6:coauthVersionMax="47" xr10:uidLastSave="{00000000-0000-0000-0000-000000000000}"/>
  <bookViews>
    <workbookView xWindow="-120" yWindow="-120" windowWidth="29040" windowHeight="15990" tabRatio="789" activeTab="6" xr2:uid="{E421B252-87D0-4EDD-A940-96D7BEAB990F}"/>
  </bookViews>
  <sheets>
    <sheet name="данные" sheetId="1" r:id="rId1"/>
    <sheet name="категория" sheetId="8" r:id="rId2"/>
    <sheet name="заказчик" sheetId="9" r:id="rId3"/>
    <sheet name="тор _товаров" sheetId="10" r:id="rId4"/>
    <sheet name="регионы" sheetId="11" r:id="rId5"/>
    <sheet name="по месяцам" sheetId="12" r:id="rId6"/>
    <sheet name="дэшборд" sheetId="7" r:id="rId7"/>
  </sheets>
  <definedNames>
    <definedName name="Срез_Годы__Дата_заказа">#N/A</definedName>
    <definedName name="Срез_категория">#N/A</definedName>
    <definedName name="Срез_Регион">#N/A</definedName>
    <definedName name="Срез_товар">#N/A</definedName>
  </definedNames>
  <calcPr calcId="181029"/>
  <pivotCaches>
    <pivotCache cacheId="13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" i="1"/>
</calcChain>
</file>

<file path=xl/sharedStrings.xml><?xml version="1.0" encoding="utf-8"?>
<sst xmlns="http://schemas.openxmlformats.org/spreadsheetml/2006/main" count="344" uniqueCount="106">
  <si>
    <t>Регион</t>
  </si>
  <si>
    <t>Дата заказа</t>
  </si>
  <si>
    <t>Заказчики</t>
  </si>
  <si>
    <t>Кол-во</t>
  </si>
  <si>
    <t>Доход</t>
  </si>
  <si>
    <t>Себест-ть</t>
  </si>
  <si>
    <t>Прибыль</t>
  </si>
  <si>
    <t>Восток</t>
  </si>
  <si>
    <t>Заказчик 10</t>
  </si>
  <si>
    <t>Центр</t>
  </si>
  <si>
    <t>Заказчик 26</t>
  </si>
  <si>
    <t>Заказчик 25</t>
  </si>
  <si>
    <t>Заказчик 18</t>
  </si>
  <si>
    <t>Заказчик 12</t>
  </si>
  <si>
    <t>Заказчик 24</t>
  </si>
  <si>
    <t>Заказчик 27</t>
  </si>
  <si>
    <t>Заказчик 15</t>
  </si>
  <si>
    <t>Заказчик 2</t>
  </si>
  <si>
    <t>Заказчик б</t>
  </si>
  <si>
    <t>Запад</t>
  </si>
  <si>
    <t>Заказчик 22</t>
  </si>
  <si>
    <t>Заказчик 11</t>
  </si>
  <si>
    <t>Заказчик 4</t>
  </si>
  <si>
    <t>Заказчик 9</t>
  </si>
  <si>
    <t>Мол.продукт</t>
  </si>
  <si>
    <t>Крупы</t>
  </si>
  <si>
    <t>фрукты</t>
  </si>
  <si>
    <t>молоко</t>
  </si>
  <si>
    <t>сыр</t>
  </si>
  <si>
    <t>сметана</t>
  </si>
  <si>
    <t>кефир</t>
  </si>
  <si>
    <t>просо</t>
  </si>
  <si>
    <t>гречка</t>
  </si>
  <si>
    <t>рис</t>
  </si>
  <si>
    <t>геркулес</t>
  </si>
  <si>
    <t>яблоки</t>
  </si>
  <si>
    <t>бананы</t>
  </si>
  <si>
    <t>апельсины</t>
  </si>
  <si>
    <t>мандарины</t>
  </si>
  <si>
    <t>груши</t>
  </si>
  <si>
    <t>категория</t>
  </si>
  <si>
    <t>товар</t>
  </si>
  <si>
    <t>Общий итог</t>
  </si>
  <si>
    <t>(Все)</t>
  </si>
  <si>
    <t>2015</t>
  </si>
  <si>
    <t>2017</t>
  </si>
  <si>
    <t>янв</t>
  </si>
  <si>
    <t>фев</t>
  </si>
  <si>
    <t>мар</t>
  </si>
  <si>
    <t>Годы (Дата заказа)</t>
  </si>
  <si>
    <t>Категория</t>
  </si>
  <si>
    <t>создаем  сводную таблицу категория</t>
  </si>
  <si>
    <t>кидаем дату в строки и потом возвращаем обратно (делаем только для разделения на годы месяцы)</t>
  </si>
  <si>
    <t xml:space="preserve"> Доход.</t>
  </si>
  <si>
    <r>
      <t xml:space="preserve">Отключение  интерактивных кнопок на графике= </t>
    </r>
    <r>
      <rPr>
        <b/>
        <sz val="11"/>
        <color rgb="FF0070C0"/>
        <rFont val="Calibri"/>
        <family val="2"/>
        <charset val="204"/>
        <scheme val="minor"/>
      </rPr>
      <t>Анализ сводной таблицы -кнопка полей</t>
    </r>
  </si>
  <si>
    <r>
      <t xml:space="preserve">Изменим формат дохода на свой   </t>
    </r>
    <r>
      <rPr>
        <b/>
        <sz val="11"/>
        <color rgb="FF0070C0"/>
        <rFont val="Calibri"/>
        <family val="2"/>
        <charset val="204"/>
        <scheme val="minor"/>
      </rPr>
      <t>0 "К"</t>
    </r>
  </si>
  <si>
    <r>
      <t xml:space="preserve">Строки = </t>
    </r>
    <r>
      <rPr>
        <b/>
        <sz val="11"/>
        <color rgb="FF0070C0"/>
        <rFont val="Calibri"/>
        <family val="2"/>
        <charset val="204"/>
        <scheme val="minor"/>
      </rPr>
      <t>категория</t>
    </r>
  </si>
  <si>
    <r>
      <t xml:space="preserve">Значение= </t>
    </r>
    <r>
      <rPr>
        <b/>
        <sz val="11"/>
        <color rgb="FF0070C0"/>
        <rFont val="Calibri"/>
        <family val="2"/>
        <charset val="204"/>
        <scheme val="minor"/>
      </rPr>
      <t>доход</t>
    </r>
  </si>
  <si>
    <r>
      <t xml:space="preserve">фильтры = </t>
    </r>
    <r>
      <rPr>
        <b/>
        <sz val="11"/>
        <color rgb="FF0070C0"/>
        <rFont val="Calibri"/>
        <family val="2"/>
        <charset val="204"/>
        <scheme val="minor"/>
      </rPr>
      <t>регион</t>
    </r>
  </si>
  <si>
    <r>
      <t xml:space="preserve">выделить шкалу на диаграмме 2 раза-в </t>
    </r>
    <r>
      <rPr>
        <b/>
        <sz val="11"/>
        <color rgb="FF0070C0"/>
        <rFont val="Calibri"/>
        <family val="2"/>
        <charset val="204"/>
        <scheme val="minor"/>
      </rPr>
      <t xml:space="preserve">Параметры оси </t>
    </r>
    <r>
      <rPr>
        <sz val="11"/>
        <color rgb="FF0070C0"/>
        <rFont val="Calibri"/>
        <family val="2"/>
        <charset val="204"/>
        <scheme val="minor"/>
      </rPr>
      <t xml:space="preserve"> -</t>
    </r>
    <r>
      <rPr>
        <b/>
        <sz val="11"/>
        <color rgb="FF0070C0"/>
        <rFont val="Calibri"/>
        <family val="2"/>
        <charset val="204"/>
        <scheme val="minor"/>
      </rPr>
      <t>цена деления</t>
    </r>
    <r>
      <rPr>
        <sz val="11"/>
        <color rgb="FF0070C0"/>
        <rFont val="Calibri"/>
        <family val="2"/>
        <charset val="204"/>
        <scheme val="minor"/>
      </rPr>
      <t xml:space="preserve"> =указать</t>
    </r>
    <r>
      <rPr>
        <b/>
        <sz val="11"/>
        <color rgb="FF0070C0"/>
        <rFont val="Calibri"/>
        <family val="2"/>
        <charset val="204"/>
        <scheme val="minor"/>
      </rPr>
      <t xml:space="preserve"> Тысячи</t>
    </r>
  </si>
  <si>
    <r>
      <t xml:space="preserve">По цифре </t>
    </r>
    <r>
      <rPr>
        <b/>
        <sz val="11"/>
        <color rgb="FF0070C0"/>
        <rFont val="Calibri"/>
        <family val="2"/>
        <charset val="204"/>
        <scheme val="minor"/>
      </rPr>
      <t xml:space="preserve">Дохода </t>
    </r>
    <r>
      <rPr>
        <sz val="11"/>
        <color rgb="FF0070C0"/>
        <rFont val="Calibri"/>
        <family val="2"/>
        <charset val="204"/>
        <scheme val="minor"/>
      </rPr>
      <t>-правой кн.мыши -</t>
    </r>
    <r>
      <rPr>
        <b/>
        <sz val="11"/>
        <color rgb="FF0070C0"/>
        <rFont val="Calibri"/>
        <family val="2"/>
        <charset val="204"/>
        <scheme val="minor"/>
      </rPr>
      <t>сортировка- по убыванию</t>
    </r>
  </si>
  <si>
    <r>
      <t>выделяем ось продуктов -</t>
    </r>
    <r>
      <rPr>
        <b/>
        <sz val="11"/>
        <color rgb="FF0070C0"/>
        <rFont val="Calibri"/>
        <family val="2"/>
        <charset val="204"/>
        <scheme val="minor"/>
      </rPr>
      <t xml:space="preserve">параметры оси </t>
    </r>
    <r>
      <rPr>
        <sz val="11"/>
        <color rgb="FF0070C0"/>
        <rFont val="Calibri"/>
        <family val="2"/>
        <charset val="204"/>
        <scheme val="minor"/>
      </rPr>
      <t xml:space="preserve">- галка  </t>
    </r>
    <r>
      <rPr>
        <b/>
        <sz val="11"/>
        <color rgb="FF0070C0"/>
        <rFont val="Calibri"/>
        <family val="2"/>
        <charset val="204"/>
        <scheme val="minor"/>
      </rPr>
      <t>обратный порядок категорий</t>
    </r>
  </si>
  <si>
    <r>
      <t xml:space="preserve">фильтры + = </t>
    </r>
    <r>
      <rPr>
        <b/>
        <sz val="11"/>
        <color rgb="FF0070C0"/>
        <rFont val="Calibri"/>
        <family val="2"/>
        <charset val="204"/>
        <scheme val="minor"/>
      </rPr>
      <t>годы</t>
    </r>
  </si>
  <si>
    <t>выделим  и удалим легенду на диаграмме</t>
  </si>
  <si>
    <t>Категории</t>
  </si>
  <si>
    <t xml:space="preserve">Изменим название диаграммы сделав ее динамичной </t>
  </si>
  <si>
    <r>
      <t xml:space="preserve">выделить название  наверху в формуле </t>
    </r>
    <r>
      <rPr>
        <b/>
        <sz val="11"/>
        <color rgb="FF0070C0"/>
        <rFont val="Calibri"/>
        <family val="2"/>
        <charset val="204"/>
        <scheme val="minor"/>
      </rPr>
      <t>= категория!$A$2</t>
    </r>
  </si>
  <si>
    <t xml:space="preserve">скопировали  категорию </t>
  </si>
  <si>
    <t>поменяли везде названия</t>
  </si>
  <si>
    <t>выделить ячейку сводной-в  строках= заказчик (категорию удалить)</t>
  </si>
  <si>
    <t>ТОР товаров</t>
  </si>
  <si>
    <t>Товары</t>
  </si>
  <si>
    <t>отсортировать доход по убыванию</t>
  </si>
  <si>
    <t>скопировали  лист заказчики</t>
  </si>
  <si>
    <t>выделить ячейку сводной-в  строках= товар(остальное удалить)</t>
  </si>
  <si>
    <t>возле Доход. нажимаем на кнопку "Автофильтр"</t>
  </si>
  <si>
    <t>фильтр по значению- Первые 10</t>
  </si>
  <si>
    <t>согласится в окне -ок</t>
  </si>
  <si>
    <t>регионы</t>
  </si>
  <si>
    <t>выделить диаграмму-конструктор-изменить тип-круговая - пончик</t>
  </si>
  <si>
    <t>выделить ячейку сводной-в  строках= регион(остальное удалить)</t>
  </si>
  <si>
    <t>выделить диаграмму- зеленый плюс- метки</t>
  </si>
  <si>
    <t xml:space="preserve">галка имя категори </t>
  </si>
  <si>
    <t>галка доля</t>
  </si>
  <si>
    <t xml:space="preserve"> убрать галку значение</t>
  </si>
  <si>
    <t>2 раза по появившемся меткам- параметры метки</t>
  </si>
  <si>
    <t xml:space="preserve">Конструктор выбрать дизайнерский вид  кольца </t>
  </si>
  <si>
    <t>скопировали  лист регионы</t>
  </si>
  <si>
    <t>доход по месяцам</t>
  </si>
  <si>
    <t>месяцы</t>
  </si>
  <si>
    <t>выделить сводную  в поле выделить товар и удалить фильтр</t>
  </si>
  <si>
    <t>выделить диаграмму-конструктор-изменить тип-гистограмма- с группировкой</t>
  </si>
  <si>
    <t>убрать легенду</t>
  </si>
  <si>
    <t>выделить ячейку сводной-в  строках= дата -оставляем годы и месяцы (остальное удалить)</t>
  </si>
  <si>
    <t>зеленый плюс- метки -украя внутри</t>
  </si>
  <si>
    <t>выделить  метки - в открывшемся панели- размер и свойства</t>
  </si>
  <si>
    <t>направление текста -повернуть 270</t>
  </si>
  <si>
    <t>выделить столбцы - параметры ряда -боковой зазор =53% станут столбцы шире</t>
  </si>
  <si>
    <t>сборка дашборта</t>
  </si>
  <si>
    <t xml:space="preserve"> выделили все- стили ячеек - указали светло серое </t>
  </si>
  <si>
    <t>копируем все графики с листов сюда CTRL+С и CTRL+V</t>
  </si>
  <si>
    <t>создаем на любом листе срезы - вставляем сюда</t>
  </si>
  <si>
    <t>пр кн- по срезу - Подключение к отчетам- проставить все галки -ок(делаем это со всеми срезами)</t>
  </si>
  <si>
    <t>Переменовать в A6 названии в Категория (с кнопкой F2) также сверху даем название сводной таблице Категория (A2)</t>
  </si>
  <si>
    <t>любая ячейка- вставка- рекомендуемая диаграмма -линейная</t>
  </si>
  <si>
    <t>2 раза по появившемся меткам- параметры метки-галку 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</si>
</sst>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К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2" fillId="0" borderId="0" xfId="0" applyFont="1"/>
    <xf numFmtId="0" fontId="1" fillId="2" borderId="0" xfId="1" applyBorder="1"/>
    <xf numFmtId="0" fontId="0" fillId="2" borderId="0" xfId="1" applyFont="1" applyBorder="1"/>
    <xf numFmtId="0" fontId="4" fillId="2" borderId="0" xfId="1" applyFont="1" applyBorder="1"/>
    <xf numFmtId="0" fontId="2" fillId="2" borderId="0" xfId="1" applyFont="1" applyBorder="1"/>
  </cellXfs>
  <cellStyles count="2">
    <cellStyle name="20% — акцент3" xfId="1" builtinId="38"/>
    <cellStyle name="Обычный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[дашборд.xlsx]категория!категория</c:name>
    <c:fmtId val="0"/>
  </c:pivotSource>
  <c:chart>
    <c:title>
      <c:tx>
        <c:strRef>
          <c:f>категория!$A$2</c:f>
          <c:strCache>
            <c:ptCount val="1"/>
            <c:pt idx="0">
              <c:v>Категории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категория!$B$6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категория!$A$7:$A$8</c:f>
              <c:strCache>
                <c:ptCount val="1"/>
                <c:pt idx="0">
                  <c:v>фрукты</c:v>
                </c:pt>
              </c:strCache>
            </c:strRef>
          </c:cat>
          <c:val>
            <c:numRef>
              <c:f>категория!$B$7:$B$8</c:f>
              <c:numCache>
                <c:formatCode>0\ "К"</c:formatCode>
                <c:ptCount val="1"/>
                <c:pt idx="0">
                  <c:v>94248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3-45B7-B24C-0A8D28E8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43727"/>
        <c:axId val="21198399"/>
      </c:barChart>
      <c:catAx>
        <c:axId val="1916743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98399"/>
        <c:crossesAt val="0"/>
        <c:auto val="1"/>
        <c:lblAlgn val="ctr"/>
        <c:lblOffset val="100"/>
        <c:noMultiLvlLbl val="0"/>
      </c:catAx>
      <c:valAx>
        <c:axId val="211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7437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[дашборд.xlsx]заказчик!Заказчик</c:name>
    <c:fmtId val="1"/>
  </c:pivotSource>
  <c:chart>
    <c:title>
      <c:tx>
        <c:strRef>
          <c:f>заказчик!$A$2</c:f>
          <c:strCache>
            <c:ptCount val="1"/>
            <c:pt idx="0">
              <c:v>Заказчики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заказчик!$B$6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заказчик!$A$7:$A$12</c:f>
              <c:strCache>
                <c:ptCount val="5"/>
                <c:pt idx="0">
                  <c:v>Заказчик 15</c:v>
                </c:pt>
                <c:pt idx="1">
                  <c:v>Заказчик б</c:v>
                </c:pt>
                <c:pt idx="2">
                  <c:v>Заказчик 27</c:v>
                </c:pt>
                <c:pt idx="3">
                  <c:v>Заказчик 12</c:v>
                </c:pt>
                <c:pt idx="4">
                  <c:v>Заказчик 9</c:v>
                </c:pt>
              </c:strCache>
            </c:strRef>
          </c:cat>
          <c:val>
            <c:numRef>
              <c:f>заказчик!$B$7:$B$12</c:f>
              <c:numCache>
                <c:formatCode>0\ "К"</c:formatCode>
                <c:ptCount val="5"/>
                <c:pt idx="0">
                  <c:v>26157</c:v>
                </c:pt>
                <c:pt idx="1">
                  <c:v>20770</c:v>
                </c:pt>
                <c:pt idx="2">
                  <c:v>20251</c:v>
                </c:pt>
                <c:pt idx="3">
                  <c:v>15640</c:v>
                </c:pt>
                <c:pt idx="4">
                  <c:v>11430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7-4685-90D7-A7812DF25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43727"/>
        <c:axId val="21198399"/>
      </c:barChart>
      <c:catAx>
        <c:axId val="1916743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98399"/>
        <c:crossesAt val="0"/>
        <c:auto val="1"/>
        <c:lblAlgn val="ctr"/>
        <c:lblOffset val="100"/>
        <c:noMultiLvlLbl val="0"/>
      </c:catAx>
      <c:valAx>
        <c:axId val="211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7437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[дашборд.xlsx]тор _товаров!ТОР товаров</c:name>
    <c:fmtId val="2"/>
  </c:pivotSource>
  <c:chart>
    <c:title>
      <c:tx>
        <c:strRef>
          <c:f>'тор _товаров'!$A$2</c:f>
          <c:strCache>
            <c:ptCount val="1"/>
            <c:pt idx="0">
              <c:v>ТОР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'тор _товаров'!$B$6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'тор _товаров'!$A$7:$A$8</c:f>
              <c:strCache>
                <c:ptCount val="1"/>
                <c:pt idx="0">
                  <c:v>апельсины</c:v>
                </c:pt>
              </c:strCache>
            </c:strRef>
          </c:cat>
          <c:val>
            <c:numRef>
              <c:f>'тор _товаров'!$B$7:$B$8</c:f>
              <c:numCache>
                <c:formatCode>0\ "К"</c:formatCode>
                <c:ptCount val="1"/>
                <c:pt idx="0">
                  <c:v>94248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1-4E21-9360-449843F8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43727"/>
        <c:axId val="21198399"/>
      </c:barChart>
      <c:catAx>
        <c:axId val="1916743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98399"/>
        <c:crossesAt val="0"/>
        <c:auto val="1"/>
        <c:lblAlgn val="ctr"/>
        <c:lblOffset val="100"/>
        <c:noMultiLvlLbl val="0"/>
      </c:catAx>
      <c:valAx>
        <c:axId val="211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7437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[дашборд.xlsx]регионы!Регионы</c:name>
    <c:fmtId val="3"/>
  </c:pivotSource>
  <c:chart>
    <c:title>
      <c:tx>
        <c:strRef>
          <c:f>регионы!$A$2</c:f>
          <c:strCache>
            <c:ptCount val="1"/>
            <c:pt idx="0">
              <c:v>регионы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043350760555978"/>
          <c:y val="0.21542973206087754"/>
          <c:w val="0.35410628191412097"/>
          <c:h val="0.66379306826929318"/>
        </c:manualLayout>
      </c:layout>
      <c:doughnutChart>
        <c:varyColors val="1"/>
        <c:ser>
          <c:idx val="0"/>
          <c:order val="0"/>
          <c:tx>
            <c:strRef>
              <c:f>регионы!$B$6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регионы!$A$7:$A$10</c:f>
              <c:strCache>
                <c:ptCount val="3"/>
                <c:pt idx="0">
                  <c:v>Восток</c:v>
                </c:pt>
                <c:pt idx="1">
                  <c:v>Запад</c:v>
                </c:pt>
                <c:pt idx="2">
                  <c:v>Центр</c:v>
                </c:pt>
              </c:strCache>
            </c:strRef>
          </c:cat>
          <c:val>
            <c:numRef>
              <c:f>регионы!$B$7:$B$10</c:f>
              <c:numCache>
                <c:formatCode>0\ "К"</c:formatCode>
                <c:ptCount val="3"/>
                <c:pt idx="0">
                  <c:v>27070</c:v>
                </c:pt>
                <c:pt idx="1">
                  <c:v>40141</c:v>
                </c:pt>
                <c:pt idx="2">
                  <c:v>27037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0-4B0C-9B91-2AEB0A13AF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[дашборд.xlsx]по месяцам!Месяцы</c:name>
    <c:fmtId val="7"/>
  </c:pivotSource>
  <c:chart>
    <c:title>
      <c:tx>
        <c:strRef>
          <c:f>'по месяцам'!$A$2</c:f>
          <c:strCache>
            <c:ptCount val="1"/>
            <c:pt idx="0">
              <c:v>доход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2043350760555978"/>
          <c:y val="0.21542973206087754"/>
          <c:w val="0.35410628191412097"/>
          <c:h val="0.66379306826929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'по месяцам'!$B$6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 месяцам'!$A$7:$A$14</c:f>
              <c:multiLvlStrCache>
                <c:ptCount val="5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янв</c:v>
                  </c:pt>
                  <c:pt idx="3">
                    <c:v>фев</c:v>
                  </c:pt>
                  <c:pt idx="4">
                    <c:v>мар</c:v>
                  </c:pt>
                </c:lvl>
                <c:lvl>
                  <c:pt idx="0">
                    <c:v>2015</c:v>
                  </c:pt>
                  <c:pt idx="2">
                    <c:v>2017</c:v>
                  </c:pt>
                </c:lvl>
              </c:multiLvlStrCache>
            </c:multiLvlStrRef>
          </c:cat>
          <c:val>
            <c:numRef>
              <c:f>'по месяцам'!$B$7:$B$14</c:f>
              <c:numCache>
                <c:formatCode>0\ "К"</c:formatCode>
                <c:ptCount val="5"/>
                <c:pt idx="0">
                  <c:v>27037</c:v>
                </c:pt>
                <c:pt idx="1">
                  <c:v>20251</c:v>
                </c:pt>
                <c:pt idx="2">
                  <c:v>19890</c:v>
                </c:pt>
                <c:pt idx="3">
                  <c:v>11430</c:v>
                </c:pt>
                <c:pt idx="4">
                  <c:v>15640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71-454E-9C3F-193AF8F419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3"/>
        <c:axId val="20090767"/>
        <c:axId val="20092207"/>
      </c:barChart>
      <c:catAx>
        <c:axId val="2009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2207"/>
        <c:auto val="1"/>
        <c:lblAlgn val="ctr"/>
        <c:lblOffset val="100"/>
        <c:noMultiLvlLbl val="0"/>
      </c:catAx>
      <c:valAx>
        <c:axId val="200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0767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[дашборд.xlsx]категория!категория</c:name>
    <c:fmtId val="2"/>
  </c:pivotSource>
  <c:chart>
    <c:title>
      <c:tx>
        <c:strRef>
          <c:f>категория!$A$2</c:f>
          <c:strCache>
            <c:ptCount val="1"/>
            <c:pt idx="0">
              <c:v>Категории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категория!$A$2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категория!$A$2</c:f>
              <c:strCache>
                <c:ptCount val="1"/>
                <c:pt idx="0">
                  <c:v>фрукты</c:v>
                </c:pt>
              </c:strCache>
            </c:strRef>
          </c:cat>
          <c:val>
            <c:numRef>
              <c:f>категория!$A$2</c:f>
              <c:numCache>
                <c:formatCode>0\ "К"</c:formatCode>
                <c:ptCount val="1"/>
                <c:pt idx="0">
                  <c:v>94248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B-438A-B639-EE093C67B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43727"/>
        <c:axId val="21198399"/>
      </c:barChart>
      <c:catAx>
        <c:axId val="1916743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98399"/>
        <c:crossesAt val="0"/>
        <c:auto val="1"/>
        <c:lblAlgn val="ctr"/>
        <c:lblOffset val="100"/>
        <c:noMultiLvlLbl val="0"/>
      </c:catAx>
      <c:valAx>
        <c:axId val="211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7437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[дашборд.xlsx]заказчик!Заказчик</c:name>
    <c:fmtId val="3"/>
  </c:pivotSource>
  <c:chart>
    <c:title>
      <c:tx>
        <c:strRef>
          <c:f>заказчик!$A$2</c:f>
          <c:strCache>
            <c:ptCount val="1"/>
            <c:pt idx="0">
              <c:v>Заказчики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заказчик!$A$2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заказчик!$A$2</c:f>
              <c:strCache>
                <c:ptCount val="5"/>
                <c:pt idx="0">
                  <c:v>Заказчик 15</c:v>
                </c:pt>
                <c:pt idx="1">
                  <c:v>Заказчик б</c:v>
                </c:pt>
                <c:pt idx="2">
                  <c:v>Заказчик 27</c:v>
                </c:pt>
                <c:pt idx="3">
                  <c:v>Заказчик 12</c:v>
                </c:pt>
                <c:pt idx="4">
                  <c:v>Заказчик 9</c:v>
                </c:pt>
              </c:strCache>
            </c:strRef>
          </c:cat>
          <c:val>
            <c:numRef>
              <c:f>заказчик!$A$2</c:f>
              <c:numCache>
                <c:formatCode>0\ "К"</c:formatCode>
                <c:ptCount val="5"/>
                <c:pt idx="0">
                  <c:v>26157</c:v>
                </c:pt>
                <c:pt idx="1">
                  <c:v>20770</c:v>
                </c:pt>
                <c:pt idx="2">
                  <c:v>20251</c:v>
                </c:pt>
                <c:pt idx="3">
                  <c:v>15640</c:v>
                </c:pt>
                <c:pt idx="4">
                  <c:v>11430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A-405A-8FCB-709CC74D7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43727"/>
        <c:axId val="21198399"/>
      </c:barChart>
      <c:catAx>
        <c:axId val="1916743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98399"/>
        <c:crossesAt val="0"/>
        <c:auto val="1"/>
        <c:lblAlgn val="ctr"/>
        <c:lblOffset val="100"/>
        <c:noMultiLvlLbl val="0"/>
      </c:catAx>
      <c:valAx>
        <c:axId val="211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7437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[дашборд.xlsx]тор _товаров!ТОР товаров</c:name>
    <c:fmtId val="4"/>
  </c:pivotSource>
  <c:chart>
    <c:title>
      <c:tx>
        <c:strRef>
          <c:f>'тор _товаров'!$A$2</c:f>
          <c:strCache>
            <c:ptCount val="1"/>
            <c:pt idx="0">
              <c:v>ТОР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'тор _товаров'!$A$2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'тор _товаров'!$A$2</c:f>
              <c:strCache>
                <c:ptCount val="1"/>
                <c:pt idx="0">
                  <c:v>апельсины</c:v>
                </c:pt>
              </c:strCache>
            </c:strRef>
          </c:cat>
          <c:val>
            <c:numRef>
              <c:f>'тор _товаров'!$A$2</c:f>
              <c:numCache>
                <c:formatCode>0\ "К"</c:formatCode>
                <c:ptCount val="1"/>
                <c:pt idx="0">
                  <c:v>94248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E-48F2-800A-A3DA2919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43727"/>
        <c:axId val="21198399"/>
      </c:barChart>
      <c:catAx>
        <c:axId val="1916743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98399"/>
        <c:crossesAt val="0"/>
        <c:auto val="1"/>
        <c:lblAlgn val="ctr"/>
        <c:lblOffset val="100"/>
        <c:noMultiLvlLbl val="0"/>
      </c:catAx>
      <c:valAx>
        <c:axId val="21198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67437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[дашборд.xlsx]регионы!Регионы</c:name>
    <c:fmtId val="8"/>
  </c:pivotSource>
  <c:chart>
    <c:title>
      <c:tx>
        <c:strRef>
          <c:f>регионы!$A$2</c:f>
          <c:strCache>
            <c:ptCount val="1"/>
            <c:pt idx="0">
              <c:v>регионы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2043350760555978"/>
          <c:y val="0.21542973206087754"/>
          <c:w val="0.35410628191412097"/>
          <c:h val="0.66379306826929318"/>
        </c:manualLayout>
      </c:layout>
      <c:doughnutChart>
        <c:varyColors val="1"/>
        <c:ser>
          <c:idx val="0"/>
          <c:order val="0"/>
          <c:tx>
            <c:strRef>
              <c:f>регионы!$A$2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7B-465D-83CC-B579D4C13C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7B-465D-83CC-B579D4C13C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7B-465D-83CC-B579D4C13C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регионы!$A$2</c:f>
              <c:strCache>
                <c:ptCount val="3"/>
                <c:pt idx="0">
                  <c:v>Восток</c:v>
                </c:pt>
                <c:pt idx="1">
                  <c:v>Запад</c:v>
                </c:pt>
                <c:pt idx="2">
                  <c:v>Центр</c:v>
                </c:pt>
              </c:strCache>
            </c:strRef>
          </c:cat>
          <c:val>
            <c:numRef>
              <c:f>регионы!$A$2</c:f>
              <c:numCache>
                <c:formatCode>0\ "К"</c:formatCode>
                <c:ptCount val="3"/>
                <c:pt idx="0">
                  <c:v>27070</c:v>
                </c:pt>
                <c:pt idx="1">
                  <c:v>40141</c:v>
                </c:pt>
                <c:pt idx="2">
                  <c:v>27037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7B-465D-83CC-B579D4C13C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[дашборд.xlsx]по месяцам!Месяцы</c:name>
    <c:fmtId val="12"/>
  </c:pivotSource>
  <c:chart>
    <c:title>
      <c:tx>
        <c:strRef>
          <c:f>'по месяцам'!$A$2</c:f>
          <c:strCache>
            <c:ptCount val="1"/>
            <c:pt idx="0">
              <c:v>доход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043350760555978"/>
          <c:y val="0.21542973206087754"/>
          <c:w val="0.35410628191412097"/>
          <c:h val="0.66379306826929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'по месяцам'!$A$2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 месяцам'!$A$2</c:f>
              <c:multiLvlStrCache>
                <c:ptCount val="5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янв</c:v>
                  </c:pt>
                  <c:pt idx="3">
                    <c:v>фев</c:v>
                  </c:pt>
                  <c:pt idx="4">
                    <c:v>мар</c:v>
                  </c:pt>
                </c:lvl>
                <c:lvl>
                  <c:pt idx="0">
                    <c:v>2015</c:v>
                  </c:pt>
                  <c:pt idx="2">
                    <c:v>2017</c:v>
                  </c:pt>
                </c:lvl>
              </c:multiLvlStrCache>
            </c:multiLvlStrRef>
          </c:cat>
          <c:val>
            <c:numRef>
              <c:f>'по месяцам'!$A$2</c:f>
              <c:numCache>
                <c:formatCode>0\ "К"</c:formatCode>
                <c:ptCount val="5"/>
                <c:pt idx="0">
                  <c:v>27037</c:v>
                </c:pt>
                <c:pt idx="1">
                  <c:v>20251</c:v>
                </c:pt>
                <c:pt idx="2">
                  <c:v>19890</c:v>
                </c:pt>
                <c:pt idx="3">
                  <c:v>11430</c:v>
                </c:pt>
                <c:pt idx="4">
                  <c:v>15640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3-40D6-8AC5-85718C37DE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3"/>
        <c:axId val="20090767"/>
        <c:axId val="20092207"/>
      </c:barChart>
      <c:catAx>
        <c:axId val="2009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2207"/>
        <c:crosses val="autoZero"/>
        <c:auto val="1"/>
        <c:lblAlgn val="ctr"/>
        <c:lblOffset val="100"/>
        <c:noMultiLvlLbl val="0"/>
      </c:catAx>
      <c:valAx>
        <c:axId val="200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076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26</xdr:row>
      <xdr:rowOff>38100</xdr:rowOff>
    </xdr:from>
    <xdr:to>
      <xdr:col>7</xdr:col>
      <xdr:colOff>433389</xdr:colOff>
      <xdr:row>40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9D3F27-61C3-4239-B5A4-F5DDF600B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26</xdr:row>
      <xdr:rowOff>38100</xdr:rowOff>
    </xdr:from>
    <xdr:to>
      <xdr:col>7</xdr:col>
      <xdr:colOff>433389</xdr:colOff>
      <xdr:row>40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27C86A-B15D-40F9-97AE-58F0B1A40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26</xdr:row>
      <xdr:rowOff>38100</xdr:rowOff>
    </xdr:from>
    <xdr:to>
      <xdr:col>7</xdr:col>
      <xdr:colOff>433389</xdr:colOff>
      <xdr:row>40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38D0D4-0216-4D3A-AE38-9030F034A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26</xdr:row>
      <xdr:rowOff>38100</xdr:rowOff>
    </xdr:from>
    <xdr:to>
      <xdr:col>7</xdr:col>
      <xdr:colOff>433389</xdr:colOff>
      <xdr:row>40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D14E0F-9021-4324-AF6F-683CDF099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20</xdr:row>
      <xdr:rowOff>123826</xdr:rowOff>
    </xdr:from>
    <xdr:to>
      <xdr:col>14</xdr:col>
      <xdr:colOff>28575</xdr:colOff>
      <xdr:row>37</xdr:row>
      <xdr:rowOff>123826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454683-20FE-45CF-98DC-A044E8A8E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22</xdr:row>
      <xdr:rowOff>47625</xdr:rowOff>
    </xdr:from>
    <xdr:to>
      <xdr:col>15</xdr:col>
      <xdr:colOff>323850</xdr:colOff>
      <xdr:row>34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A9AD55-E576-4FAE-A7D6-4CFAE1A13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</xdr:row>
      <xdr:rowOff>38100</xdr:rowOff>
    </xdr:from>
    <xdr:to>
      <xdr:col>9</xdr:col>
      <xdr:colOff>176214</xdr:colOff>
      <xdr:row>34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FF43031-CA3D-4352-B61D-2D31077C3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371475</xdr:colOff>
      <xdr:row>21</xdr:row>
      <xdr:rowOff>9525</xdr:rowOff>
    </xdr:from>
    <xdr:to>
      <xdr:col>23</xdr:col>
      <xdr:colOff>547689</xdr:colOff>
      <xdr:row>34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EF0855D-5A0D-4E2B-BC0D-F9028E6AC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209550</xdr:colOff>
      <xdr:row>9</xdr:row>
      <xdr:rowOff>28575</xdr:rowOff>
    </xdr:from>
    <xdr:to>
      <xdr:col>15</xdr:col>
      <xdr:colOff>342900</xdr:colOff>
      <xdr:row>22</xdr:row>
      <xdr:rowOff>28575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6664553-03F0-4F16-B156-C13EC7B0D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361950</xdr:colOff>
      <xdr:row>9</xdr:row>
      <xdr:rowOff>0</xdr:rowOff>
    </xdr:from>
    <xdr:to>
      <xdr:col>23</xdr:col>
      <xdr:colOff>504826</xdr:colOff>
      <xdr:row>20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A276A82-CF14-4E13-BBBA-2691EEDC8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47624</xdr:colOff>
      <xdr:row>0</xdr:row>
      <xdr:rowOff>104775</xdr:rowOff>
    </xdr:from>
    <xdr:to>
      <xdr:col>0</xdr:col>
      <xdr:colOff>2085975</xdr:colOff>
      <xdr:row>4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Регион 1">
              <a:extLst>
                <a:ext uri="{FF2B5EF4-FFF2-40B4-BE49-F238E27FC236}">
                  <a16:creationId xmlns:a16="http://schemas.microsoft.com/office/drawing/2014/main" id="{E2B33FE4-D37D-4FCD-BE92-3194B76EB2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04775"/>
              <a:ext cx="2038351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171450</xdr:rowOff>
    </xdr:from>
    <xdr:to>
      <xdr:col>0</xdr:col>
      <xdr:colOff>2057400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категория 1">
              <a:extLst>
                <a:ext uri="{FF2B5EF4-FFF2-40B4-BE49-F238E27FC236}">
                  <a16:creationId xmlns:a16="http://schemas.microsoft.com/office/drawing/2014/main" id="{77380CC4-AE20-44D3-973B-AF50E5BA4E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504950"/>
              <a:ext cx="20193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14</xdr:row>
      <xdr:rowOff>28575</xdr:rowOff>
    </xdr:from>
    <xdr:to>
      <xdr:col>0</xdr:col>
      <xdr:colOff>2019300</xdr:colOff>
      <xdr:row>34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товар 1">
              <a:extLst>
                <a:ext uri="{FF2B5EF4-FFF2-40B4-BE49-F238E27FC236}">
                  <a16:creationId xmlns:a16="http://schemas.microsoft.com/office/drawing/2014/main" id="{B0F27780-D8BE-4D55-93DA-C27CA7A4E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овар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95575"/>
              <a:ext cx="2019300" cy="3848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38099</xdr:colOff>
      <xdr:row>4</xdr:row>
      <xdr:rowOff>38100</xdr:rowOff>
    </xdr:from>
    <xdr:to>
      <xdr:col>0</xdr:col>
      <xdr:colOff>2085975</xdr:colOff>
      <xdr:row>7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Годы (Дата заказа) 1">
              <a:extLst>
                <a:ext uri="{FF2B5EF4-FFF2-40B4-BE49-F238E27FC236}">
                  <a16:creationId xmlns:a16="http://schemas.microsoft.com/office/drawing/2014/main" id="{653B613E-3723-487F-9502-A1953819DC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 заказа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" y="800100"/>
              <a:ext cx="2047876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0.644531712962" createdVersion="8" refreshedVersion="8" minRefreshableVersion="3" recordCount="57" xr:uid="{B22857B7-B9CE-4E45-ACE2-29DDC7B6775C}">
  <cacheSource type="worksheet">
    <worksheetSource name="Таблица1"/>
  </cacheSource>
  <cacheFields count="12">
    <cacheField name="Регион" numFmtId="0">
      <sharedItems count="3">
        <s v="Восток"/>
        <s v="Центр"/>
        <s v="Запад"/>
      </sharedItems>
    </cacheField>
    <cacheField name="категория" numFmtId="0">
      <sharedItems count="3">
        <s v="Мол.продукт"/>
        <s v="Крупы"/>
        <s v="фрукты"/>
      </sharedItems>
    </cacheField>
    <cacheField name="товар" numFmtId="0">
      <sharedItems count="13">
        <s v="молоко"/>
        <s v="просо"/>
        <s v="сыр"/>
        <s v="гречка"/>
        <s v="яблоки"/>
        <s v="рис"/>
        <s v="бананы"/>
        <s v="сметана"/>
        <s v="апельсины"/>
        <s v="мандарины"/>
        <s v="груши"/>
        <s v="геркулес"/>
        <s v="кефир"/>
      </sharedItems>
    </cacheField>
    <cacheField name="Дата заказа" numFmtId="14">
      <sharedItems containsSemiMixedTypes="0" containsNonDate="0" containsDate="1" containsString="0" minDate="2015-01-01T00:00:00" maxDate="2017-03-05T00:00:00" count="53">
        <d v="2015-01-01T00:00:00"/>
        <d v="2015-01-02T00:00:00"/>
        <d v="2015-01-04T00:00:00"/>
        <d v="2015-01-07T00:00:00"/>
        <d v="2015-01-09T00:00:00"/>
        <d v="2015-01-10T00:00:00"/>
        <d v="2015-01-12T00:00:00"/>
        <d v="2015-01-14T00:00:00"/>
        <d v="2015-01-15T00:00:00"/>
        <d v="2015-01-16T00:00:00"/>
        <d v="2015-01-19T00:00:00"/>
        <d v="2015-01-21T00:00:00"/>
        <d v="2015-01-23T00:00:00"/>
        <d v="2015-01-24T00:00:00"/>
        <d v="2015-01-25T00:00:00"/>
        <d v="2015-01-26T00:00:00"/>
        <d v="2015-01-29T00:00:00"/>
        <d v="2015-01-30T00:00:00"/>
        <d v="2015-01-31T00:00:00"/>
        <d v="2015-02-01T00:00:00"/>
        <d v="2015-02-03T00:00:00"/>
        <d v="2015-02-06T00:00:00"/>
        <d v="2015-02-07T00:00:00"/>
        <d v="2015-02-08T00:00:00"/>
        <d v="2015-02-09T00:00:00"/>
        <d v="2015-02-14T00:00:00"/>
        <d v="2015-02-16T00:00:00"/>
        <d v="2015-02-17T00:00:00"/>
        <d v="2015-02-18T00:00:00"/>
        <d v="2016-01-30T00:00:00"/>
        <d v="2016-01-31T00:00:00"/>
        <d v="2016-02-01T00:00:00"/>
        <d v="2016-02-03T00:00:00"/>
        <d v="2016-02-06T00:00:00"/>
        <d v="2016-02-07T00:00:00"/>
        <d v="2016-02-08T00:00:00"/>
        <d v="2016-02-09T00:00:00"/>
        <d v="2016-03-10T00:00:00"/>
        <d v="2016-03-11T00:00:00"/>
        <d v="2016-03-12T00:00:00"/>
        <d v="2016-03-13T00:00:00"/>
        <d v="2017-01-07T00:00:00"/>
        <d v="2017-01-14T00:00:00"/>
        <d v="2017-01-29T00:00:00"/>
        <d v="2017-02-14T00:00:00"/>
        <d v="2017-02-15T00:00:00"/>
        <d v="2017-02-16T00:00:00"/>
        <d v="2017-02-17T00:00:00"/>
        <d v="2017-02-18T00:00:00"/>
        <d v="2017-03-01T00:00:00"/>
        <d v="2017-03-02T00:00:00"/>
        <d v="2017-03-03T00:00:00"/>
        <d v="2017-03-04T00:00:00"/>
      </sharedItems>
      <fieldGroup par="11"/>
    </cacheField>
    <cacheField name="Заказчики" numFmtId="0">
      <sharedItems count="14">
        <s v="Заказчик 10"/>
        <s v="Заказчик 26"/>
        <s v="Заказчик 25"/>
        <s v="Заказчик 18"/>
        <s v="Заказчик 12"/>
        <s v="Заказчик 24"/>
        <s v="Заказчик 27"/>
        <s v="Заказчик 15"/>
        <s v="Заказчик 2"/>
        <s v="Заказчик б"/>
        <s v="Заказчик 22"/>
        <s v="Заказчик 11"/>
        <s v="Заказчик 4"/>
        <s v="Заказчик 9"/>
      </sharedItems>
    </cacheField>
    <cacheField name="Кол-во" numFmtId="0">
      <sharedItems containsSemiMixedTypes="0" containsString="0" containsNumber="1" containsInteger="1" minValue="91" maxValue="1035"/>
    </cacheField>
    <cacheField name="Доход" numFmtId="0">
      <sharedItems containsSemiMixedTypes="0" containsString="0" containsNumber="1" containsInteger="1" minValue="1817" maxValue="22810"/>
    </cacheField>
    <cacheField name="Себест-ть" numFmtId="0">
      <sharedItems containsSemiMixedTypes="0" containsString="0" containsNumber="1" containsInteger="1" minValue="838" maxValue="10213"/>
    </cacheField>
    <cacheField name="Прибыль" numFmtId="0">
      <sharedItems containsSemiMixedTypes="0" containsString="0" containsNumber="1" containsInteger="1" minValue="979" maxValue="12842"/>
    </cacheField>
    <cacheField name="Месяцы (Дата заказа)" numFmtId="0" databaseField="0">
      <fieldGroup base="3">
        <rangePr groupBy="months" startDate="2015-01-01T00:00:00" endDate="2017-03-05T00:00:00"/>
        <groupItems count="14">
          <s v="&lt;01.01.201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5.03.2017"/>
        </groupItems>
      </fieldGroup>
    </cacheField>
    <cacheField name="Кварталы (Дата заказа)" numFmtId="0" databaseField="0">
      <fieldGroup base="3">
        <rangePr groupBy="quarters" startDate="2015-01-01T00:00:00" endDate="2017-03-05T00:00:00"/>
        <groupItems count="6">
          <s v="&lt;01.01.2015"/>
          <s v="Кв-л1"/>
          <s v="Кв-л2"/>
          <s v="Кв-л3"/>
          <s v="Кв-л4"/>
          <s v="&gt;05.03.2017"/>
        </groupItems>
      </fieldGroup>
    </cacheField>
    <cacheField name="Годы (Дата заказа)" numFmtId="0" databaseField="0">
      <fieldGroup base="3">
        <rangePr groupBy="years" startDate="2015-01-01T00:00:00" endDate="2017-03-05T00:00:00"/>
        <groupItems count="5">
          <s v="&lt;01.01.2015"/>
          <s v="2015"/>
          <s v="2016"/>
          <s v="2017"/>
          <s v="&gt;05.03.2017"/>
        </groupItems>
      </fieldGroup>
    </cacheField>
  </cacheFields>
  <extLst>
    <ext xmlns:x14="http://schemas.microsoft.com/office/spreadsheetml/2009/9/main" uri="{725AE2AE-9491-48be-B2B4-4EB974FC3084}">
      <x14:pivotCacheDefinition pivotCacheId="4266158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x v="0"/>
    <x v="0"/>
    <n v="954"/>
    <n v="22810"/>
    <n v="10213"/>
    <n v="12597"/>
  </r>
  <r>
    <x v="1"/>
    <x v="1"/>
    <x v="1"/>
    <x v="1"/>
    <x v="1"/>
    <n v="124"/>
    <n v="2257"/>
    <n v="998"/>
    <n v="1259"/>
  </r>
  <r>
    <x v="0"/>
    <x v="0"/>
    <x v="2"/>
    <x v="2"/>
    <x v="2"/>
    <n v="425"/>
    <n v="9152"/>
    <n v="4083"/>
    <n v="5069"/>
  </r>
  <r>
    <x v="0"/>
    <x v="1"/>
    <x v="3"/>
    <x v="2"/>
    <x v="3"/>
    <n v="773"/>
    <n v="18552"/>
    <n v="7883"/>
    <n v="10669"/>
  </r>
  <r>
    <x v="0"/>
    <x v="2"/>
    <x v="4"/>
    <x v="3"/>
    <x v="4"/>
    <n v="401"/>
    <n v="8456"/>
    <n v="3389"/>
    <n v="5067"/>
  </r>
  <r>
    <x v="0"/>
    <x v="1"/>
    <x v="5"/>
    <x v="3"/>
    <x v="5"/>
    <n v="1035"/>
    <n v="21730"/>
    <n v="9839"/>
    <n v="11891"/>
  </r>
  <r>
    <x v="1"/>
    <x v="2"/>
    <x v="6"/>
    <x v="4"/>
    <x v="4"/>
    <n v="750"/>
    <n v="16416"/>
    <n v="6768"/>
    <n v="9648"/>
  </r>
  <r>
    <x v="1"/>
    <x v="0"/>
    <x v="7"/>
    <x v="5"/>
    <x v="6"/>
    <n v="901"/>
    <n v="21438"/>
    <n v="9209"/>
    <n v="12229"/>
  </r>
  <r>
    <x v="1"/>
    <x v="2"/>
    <x v="8"/>
    <x v="6"/>
    <x v="7"/>
    <n v="342"/>
    <n v="6267"/>
    <n v="2541"/>
    <n v="3726"/>
  </r>
  <r>
    <x v="0"/>
    <x v="0"/>
    <x v="7"/>
    <x v="7"/>
    <x v="8"/>
    <n v="91"/>
    <n v="2401"/>
    <n v="1031"/>
    <n v="1370"/>
  </r>
  <r>
    <x v="0"/>
    <x v="2"/>
    <x v="9"/>
    <x v="8"/>
    <x v="1"/>
    <n v="547"/>
    <n v="9345"/>
    <n v="4239"/>
    <n v="5106"/>
  </r>
  <r>
    <x v="0"/>
    <x v="2"/>
    <x v="4"/>
    <x v="9"/>
    <x v="9"/>
    <n v="558"/>
    <n v="11628"/>
    <n v="5093"/>
    <n v="6535"/>
  </r>
  <r>
    <x v="2"/>
    <x v="1"/>
    <x v="3"/>
    <x v="10"/>
    <x v="1"/>
    <n v="100"/>
    <n v="2042"/>
    <n v="983"/>
    <n v="1059"/>
  </r>
  <r>
    <x v="2"/>
    <x v="2"/>
    <x v="4"/>
    <x v="11"/>
    <x v="3"/>
    <n v="250"/>
    <n v="3552"/>
    <n v="1696"/>
    <n v="1856"/>
  </r>
  <r>
    <x v="0"/>
    <x v="2"/>
    <x v="6"/>
    <x v="11"/>
    <x v="10"/>
    <n v="760"/>
    <n v="14440"/>
    <n v="6790"/>
    <n v="7650"/>
  </r>
  <r>
    <x v="2"/>
    <x v="2"/>
    <x v="9"/>
    <x v="12"/>
    <x v="4"/>
    <n v="810"/>
    <n v="14592"/>
    <n v="6781"/>
    <n v="7811"/>
  </r>
  <r>
    <x v="0"/>
    <x v="2"/>
    <x v="4"/>
    <x v="13"/>
    <x v="7"/>
    <n v="606"/>
    <n v="12606"/>
    <n v="5090"/>
    <n v="7516"/>
  </r>
  <r>
    <x v="1"/>
    <x v="2"/>
    <x v="8"/>
    <x v="14"/>
    <x v="9"/>
    <n v="964"/>
    <n v="20770"/>
    <n v="8463"/>
    <n v="12307"/>
  </r>
  <r>
    <x v="0"/>
    <x v="2"/>
    <x v="6"/>
    <x v="15"/>
    <x v="7"/>
    <n v="365"/>
    <n v="8128"/>
    <n v="3400"/>
    <n v="4728"/>
  </r>
  <r>
    <x v="0"/>
    <x v="2"/>
    <x v="10"/>
    <x v="16"/>
    <x v="2"/>
    <n v="389"/>
    <n v="7136"/>
    <n v="3403"/>
    <n v="3733"/>
  </r>
  <r>
    <x v="0"/>
    <x v="1"/>
    <x v="3"/>
    <x v="16"/>
    <x v="4"/>
    <n v="652"/>
    <n v="17150"/>
    <n v="6888"/>
    <n v="10262"/>
  </r>
  <r>
    <x v="0"/>
    <x v="1"/>
    <x v="5"/>
    <x v="17"/>
    <x v="6"/>
    <n v="338"/>
    <n v="6714"/>
    <n v="2967"/>
    <n v="3747"/>
  </r>
  <r>
    <x v="0"/>
    <x v="2"/>
    <x v="9"/>
    <x v="18"/>
    <x v="4"/>
    <n v="766"/>
    <n v="15640"/>
    <n v="6782"/>
    <n v="8858"/>
  </r>
  <r>
    <x v="2"/>
    <x v="2"/>
    <x v="4"/>
    <x v="19"/>
    <x v="6"/>
    <n v="346"/>
    <n v="5532"/>
    <n v="2541"/>
    <n v="2991"/>
  </r>
  <r>
    <x v="2"/>
    <x v="1"/>
    <x v="1"/>
    <x v="20"/>
    <x v="1"/>
    <n v="817"/>
    <n v="17160"/>
    <n v="7864"/>
    <n v="9296"/>
  </r>
  <r>
    <x v="0"/>
    <x v="1"/>
    <x v="1"/>
    <x v="21"/>
    <x v="11"/>
    <n v="902"/>
    <n v="21708"/>
    <n v="8866"/>
    <n v="12842"/>
  </r>
  <r>
    <x v="2"/>
    <x v="2"/>
    <x v="6"/>
    <x v="22"/>
    <x v="7"/>
    <n v="985"/>
    <n v="19890"/>
    <n v="8467"/>
    <n v="11423"/>
  </r>
  <r>
    <x v="1"/>
    <x v="2"/>
    <x v="9"/>
    <x v="23"/>
    <x v="9"/>
    <n v="116"/>
    <n v="1817"/>
    <n v="838"/>
    <n v="979"/>
  </r>
  <r>
    <x v="1"/>
    <x v="2"/>
    <x v="10"/>
    <x v="24"/>
    <x v="4"/>
    <n v="330"/>
    <n v="5157"/>
    <n v="2554"/>
    <n v="2603"/>
  </r>
  <r>
    <x v="0"/>
    <x v="1"/>
    <x v="11"/>
    <x v="25"/>
    <x v="9"/>
    <n v="706"/>
    <n v="13867"/>
    <n v="6895"/>
    <n v="6972"/>
  </r>
  <r>
    <x v="0"/>
    <x v="0"/>
    <x v="12"/>
    <x v="26"/>
    <x v="12"/>
    <n v="780"/>
    <n v="16936"/>
    <n v="8182"/>
    <n v="8754"/>
  </r>
  <r>
    <x v="0"/>
    <x v="2"/>
    <x v="9"/>
    <x v="27"/>
    <x v="13"/>
    <n v="624"/>
    <n v="11430"/>
    <n v="5095"/>
    <n v="6335"/>
  </r>
  <r>
    <x v="2"/>
    <x v="2"/>
    <x v="8"/>
    <x v="28"/>
    <x v="6"/>
    <n v="1020"/>
    <n v="20251"/>
    <n v="8466"/>
    <n v="11785"/>
  </r>
  <r>
    <x v="0"/>
    <x v="1"/>
    <x v="3"/>
    <x v="29"/>
    <x v="6"/>
    <n v="338"/>
    <n v="6714"/>
    <n v="2967"/>
    <n v="3747"/>
  </r>
  <r>
    <x v="0"/>
    <x v="2"/>
    <x v="4"/>
    <x v="30"/>
    <x v="4"/>
    <n v="766"/>
    <n v="15640"/>
    <n v="6782"/>
    <n v="8858"/>
  </r>
  <r>
    <x v="2"/>
    <x v="2"/>
    <x v="9"/>
    <x v="31"/>
    <x v="6"/>
    <n v="346"/>
    <n v="5532"/>
    <n v="2541"/>
    <n v="2991"/>
  </r>
  <r>
    <x v="2"/>
    <x v="1"/>
    <x v="11"/>
    <x v="32"/>
    <x v="1"/>
    <n v="817"/>
    <n v="17160"/>
    <n v="7864"/>
    <n v="9296"/>
  </r>
  <r>
    <x v="0"/>
    <x v="1"/>
    <x v="5"/>
    <x v="33"/>
    <x v="11"/>
    <n v="902"/>
    <n v="21708"/>
    <n v="8866"/>
    <n v="12842"/>
  </r>
  <r>
    <x v="2"/>
    <x v="2"/>
    <x v="6"/>
    <x v="34"/>
    <x v="7"/>
    <n v="985"/>
    <n v="19890"/>
    <n v="8467"/>
    <n v="11423"/>
  </r>
  <r>
    <x v="1"/>
    <x v="2"/>
    <x v="10"/>
    <x v="35"/>
    <x v="9"/>
    <n v="116"/>
    <n v="1817"/>
    <n v="838"/>
    <n v="979"/>
  </r>
  <r>
    <x v="1"/>
    <x v="2"/>
    <x v="6"/>
    <x v="36"/>
    <x v="4"/>
    <n v="330"/>
    <n v="5157"/>
    <n v="2554"/>
    <n v="2603"/>
  </r>
  <r>
    <x v="0"/>
    <x v="1"/>
    <x v="5"/>
    <x v="37"/>
    <x v="9"/>
    <n v="706"/>
    <n v="13867"/>
    <n v="6895"/>
    <n v="6972"/>
  </r>
  <r>
    <x v="0"/>
    <x v="0"/>
    <x v="0"/>
    <x v="38"/>
    <x v="12"/>
    <n v="780"/>
    <n v="16936"/>
    <n v="8182"/>
    <n v="8754"/>
  </r>
  <r>
    <x v="0"/>
    <x v="2"/>
    <x v="9"/>
    <x v="39"/>
    <x v="13"/>
    <n v="624"/>
    <n v="11430"/>
    <n v="5095"/>
    <n v="6335"/>
  </r>
  <r>
    <x v="2"/>
    <x v="2"/>
    <x v="4"/>
    <x v="40"/>
    <x v="6"/>
    <n v="1022"/>
    <n v="20252"/>
    <n v="8466"/>
    <n v="11786"/>
  </r>
  <r>
    <x v="2"/>
    <x v="2"/>
    <x v="8"/>
    <x v="41"/>
    <x v="7"/>
    <n v="985"/>
    <n v="19890"/>
    <n v="8467"/>
    <n v="11423"/>
  </r>
  <r>
    <x v="1"/>
    <x v="2"/>
    <x v="6"/>
    <x v="42"/>
    <x v="9"/>
    <n v="116"/>
    <n v="1817"/>
    <n v="838"/>
    <n v="979"/>
  </r>
  <r>
    <x v="1"/>
    <x v="2"/>
    <x v="10"/>
    <x v="43"/>
    <x v="4"/>
    <n v="330"/>
    <n v="5157"/>
    <n v="2554"/>
    <n v="2603"/>
  </r>
  <r>
    <x v="0"/>
    <x v="1"/>
    <x v="5"/>
    <x v="44"/>
    <x v="9"/>
    <n v="706"/>
    <n v="13867"/>
    <n v="6895"/>
    <n v="6972"/>
  </r>
  <r>
    <x v="0"/>
    <x v="0"/>
    <x v="2"/>
    <x v="45"/>
    <x v="12"/>
    <n v="780"/>
    <n v="16936"/>
    <n v="8182"/>
    <n v="8754"/>
  </r>
  <r>
    <x v="0"/>
    <x v="2"/>
    <x v="8"/>
    <x v="46"/>
    <x v="13"/>
    <n v="624"/>
    <n v="11430"/>
    <n v="5095"/>
    <n v="6335"/>
  </r>
  <r>
    <x v="2"/>
    <x v="2"/>
    <x v="6"/>
    <x v="47"/>
    <x v="6"/>
    <n v="1023"/>
    <n v="20253"/>
    <n v="8466"/>
    <n v="11787"/>
  </r>
  <r>
    <x v="0"/>
    <x v="1"/>
    <x v="3"/>
    <x v="48"/>
    <x v="6"/>
    <n v="338"/>
    <n v="6714"/>
    <n v="2967"/>
    <n v="3747"/>
  </r>
  <r>
    <x v="0"/>
    <x v="2"/>
    <x v="9"/>
    <x v="49"/>
    <x v="4"/>
    <n v="766"/>
    <n v="15640"/>
    <n v="6782"/>
    <n v="8858"/>
  </r>
  <r>
    <x v="2"/>
    <x v="2"/>
    <x v="6"/>
    <x v="50"/>
    <x v="6"/>
    <n v="346"/>
    <n v="5532"/>
    <n v="2541"/>
    <n v="2991"/>
  </r>
  <r>
    <x v="0"/>
    <x v="2"/>
    <x v="8"/>
    <x v="51"/>
    <x v="4"/>
    <n v="766"/>
    <n v="15640"/>
    <n v="6782"/>
    <n v="8858"/>
  </r>
  <r>
    <x v="2"/>
    <x v="2"/>
    <x v="4"/>
    <x v="52"/>
    <x v="6"/>
    <n v="346"/>
    <n v="5532"/>
    <n v="2541"/>
    <n v="2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D96D3-9B95-4641-9644-4D49B36625A5}" name="категория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Категория">
  <location ref="A6:B8" firstHeaderRow="1" firstDataRow="1" firstDataCol="1" rowPageCount="2" colPageCount="1"/>
  <pivotFields count="12">
    <pivotField axis="axisPage" showAll="0">
      <items count="4">
        <item x="0"/>
        <item x="2"/>
        <item x="1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8"/>
        <item h="1" x="6"/>
        <item h="1" x="11"/>
        <item h="1" x="3"/>
        <item h="1" x="10"/>
        <item h="1" x="12"/>
        <item h="1" x="9"/>
        <item h="1" x="0"/>
        <item h="1" x="1"/>
        <item h="1" x="5"/>
        <item h="1" x="7"/>
        <item h="1" x="2"/>
        <item h="1" x="4"/>
        <item t="default"/>
      </items>
    </pivotField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2">
    <i>
      <x v="2"/>
    </i>
    <i t="grand">
      <x/>
    </i>
  </rowItems>
  <colItems count="1">
    <i/>
  </colItems>
  <pageFields count="2">
    <pageField fld="0" hier="-1"/>
    <pageField fld="11" hier="-1"/>
  </pageFields>
  <dataFields count="1">
    <dataField name=" Доход.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AD335-757A-4C37-B5BF-B115463C3280}" name="Заказчик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Заказчики">
  <location ref="A6:B12" firstHeaderRow="1" firstDataRow="1" firstDataCol="1" rowPageCount="2" colPageCount="1"/>
  <pivotFields count="12">
    <pivotField axis="axisPage" showAll="0">
      <items count="4">
        <item x="0"/>
        <item x="2"/>
        <item x="1"/>
        <item t="default"/>
      </items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8"/>
        <item h="1" x="6"/>
        <item h="1" x="11"/>
        <item h="1" x="3"/>
        <item h="1" x="10"/>
        <item h="1" x="12"/>
        <item h="1" x="9"/>
        <item h="1" x="0"/>
        <item h="1" x="1"/>
        <item h="1" x="5"/>
        <item h="1" x="7"/>
        <item h="1" x="2"/>
        <item h="1" x="4"/>
        <item t="default"/>
      </items>
    </pivotField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 sortType="descending">
      <items count="15">
        <item x="9"/>
        <item x="13"/>
        <item x="12"/>
        <item x="6"/>
        <item x="1"/>
        <item x="2"/>
        <item x="5"/>
        <item x="10"/>
        <item x="8"/>
        <item x="3"/>
        <item x="7"/>
        <item x="4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6">
    <i>
      <x v="10"/>
    </i>
    <i>
      <x/>
    </i>
    <i>
      <x v="3"/>
    </i>
    <i>
      <x v="11"/>
    </i>
    <i>
      <x v="1"/>
    </i>
    <i t="grand">
      <x/>
    </i>
  </rowItems>
  <colItems count="1">
    <i/>
  </colItems>
  <pageFields count="2">
    <pageField fld="0" hier="-1"/>
    <pageField fld="11" hier="-1"/>
  </pageFields>
  <dataFields count="1">
    <dataField name=" Доход.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2884A-AA39-45AA-913D-ACB79B0F5A97}" name="ТОР товаров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Товары">
  <location ref="A6:B8" firstHeaderRow="1" firstDataRow="1" firstDataCol="1" rowPageCount="2" colPageCount="1"/>
  <pivotFields count="12">
    <pivotField axis="axisPage" showAll="0">
      <items count="4">
        <item x="0"/>
        <item x="2"/>
        <item x="1"/>
        <item t="default"/>
      </items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4">
        <item x="8"/>
        <item h="1" x="6"/>
        <item h="1" x="11"/>
        <item h="1" x="3"/>
        <item h="1" x="10"/>
        <item h="1" x="12"/>
        <item h="1" x="9"/>
        <item h="1" x="0"/>
        <item h="1" x="1"/>
        <item h="1" x="5"/>
        <item h="1" x="7"/>
        <item h="1"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 sortType="descending">
      <items count="15">
        <item x="9"/>
        <item x="13"/>
        <item x="12"/>
        <item x="6"/>
        <item x="1"/>
        <item x="2"/>
        <item x="5"/>
        <item x="10"/>
        <item x="8"/>
        <item x="3"/>
        <item x="7"/>
        <item x="4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pageFields count="2">
    <pageField fld="0" hier="-1"/>
    <pageField fld="11" hier="-1"/>
  </pageFields>
  <dataFields count="1">
    <dataField name=" Доход." fld="6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AC3AB-F0D9-4AA8-9571-0CF32E4FEE0C}" name="Регионы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 rowHeaderCaption="регионы">
  <location ref="A6:B10" firstHeaderRow="1" firstDataRow="1" firstDataCol="1" rowPageCount="1" colPageCount="1"/>
  <pivotFields count="12">
    <pivotField axis="axisRow" showAll="0">
      <items count="4">
        <item x="0"/>
        <item x="2"/>
        <item x="1"/>
        <item t="default"/>
      </items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4">
        <item x="8"/>
        <item h="1" x="6"/>
        <item h="1" x="11"/>
        <item h="1" x="3"/>
        <item h="1" x="10"/>
        <item h="1" x="12"/>
        <item h="1" x="9"/>
        <item h="1" x="0"/>
        <item h="1" x="1"/>
        <item h="1" x="5"/>
        <item h="1" x="7"/>
        <item h="1"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 sortType="descending">
      <items count="15">
        <item x="9"/>
        <item x="13"/>
        <item x="12"/>
        <item x="6"/>
        <item x="1"/>
        <item x="2"/>
        <item x="5"/>
        <item x="10"/>
        <item x="8"/>
        <item x="3"/>
        <item x="7"/>
        <item x="4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 Доход." fld="6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D08D5-B475-4703-9DEA-5FC7396B7EBE}" name="Месяцы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3" rowHeaderCaption="месяцы">
  <location ref="A6:B14" firstHeaderRow="1" firstDataRow="1" firstDataCol="1"/>
  <pivotFields count="12">
    <pivotField showAll="0">
      <items count="4">
        <item x="0"/>
        <item x="2"/>
        <item x="1"/>
        <item t="default"/>
      </items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4">
        <item x="8"/>
        <item h="1" x="6"/>
        <item h="1" x="11"/>
        <item h="1" x="3"/>
        <item h="1" x="10"/>
        <item h="1" x="12"/>
        <item h="1" x="9"/>
        <item h="1" x="0"/>
        <item h="1" x="1"/>
        <item h="1" x="5"/>
        <item h="1" x="7"/>
        <item h="1"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 sortType="descending">
      <items count="15">
        <item x="9"/>
        <item x="13"/>
        <item x="12"/>
        <item x="6"/>
        <item x="1"/>
        <item x="2"/>
        <item x="5"/>
        <item x="10"/>
        <item x="8"/>
        <item x="3"/>
        <item x="7"/>
        <item x="4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1"/>
    <field x="9"/>
  </rowFields>
  <rowItems count="8">
    <i>
      <x v="1"/>
    </i>
    <i r="1">
      <x v="1"/>
    </i>
    <i r="1">
      <x v="2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 Доход." fld="6" baseField="0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1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66CD2B59-28B3-4053-9F1B-3677047FF871}" sourceName="Регион">
  <pivotTables>
    <pivotTable tabId="11" name="Регионы"/>
    <pivotTable tabId="9" name="Заказчик"/>
    <pivotTable tabId="8" name="категория"/>
    <pivotTable tabId="12" name="Месяцы"/>
    <pivotTable tabId="10" name="ТОР товаров"/>
  </pivotTables>
  <data>
    <tabular pivotCacheId="42661586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" xr10:uid="{D5403046-F445-43D2-A665-AAF6129CA1EE}" sourceName="категория">
  <pivotTables>
    <pivotTable tabId="11" name="Регионы"/>
    <pivotTable tabId="9" name="Заказчик"/>
    <pivotTable tabId="8" name="категория"/>
    <pivotTable tabId="12" name="Месяцы"/>
    <pivotTable tabId="10" name="ТОР товаров"/>
  </pivotTables>
  <data>
    <tabular pivotCacheId="426615867">
      <items count="3">
        <i x="2" s="1"/>
        <i x="1" s="1" nd="1"/>
        <i x="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овар" xr10:uid="{AB522A6F-95B4-4286-80AC-A9A9E27AE5B4}" sourceName="товар">
  <pivotTables>
    <pivotTable tabId="11" name="Регионы"/>
    <pivotTable tabId="9" name="Заказчик"/>
    <pivotTable tabId="8" name="категория"/>
    <pivotTable tabId="12" name="Месяцы"/>
    <pivotTable tabId="10" name="ТОР товаров"/>
  </pivotTables>
  <data>
    <tabular pivotCacheId="426615867">
      <items count="13">
        <i x="8" s="1"/>
        <i x="6"/>
        <i x="11"/>
        <i x="3"/>
        <i x="10"/>
        <i x="12"/>
        <i x="9"/>
        <i x="0"/>
        <i x="1"/>
        <i x="5"/>
        <i x="7"/>
        <i x="2"/>
        <i x="4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_заказа" xr10:uid="{6BCCCA96-6CF8-4DE3-88CB-F798956E53BA}" sourceName="Годы (Дата заказа)">
  <pivotTables>
    <pivotTable tabId="11" name="Регионы"/>
  </pivotTables>
  <data>
    <tabular pivotCacheId="426615867">
      <items count="5">
        <i x="1" s="1"/>
        <i x="3" s="1"/>
        <i x="0" s="1" nd="1"/>
        <i x="4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егион 1" xr10:uid="{BA615FC0-E352-4C93-AFAD-51165BDC76FF}" cache="Срез_Регион" caption="Регион" columnCount="3" rowHeight="241300"/>
  <slicer name="категория 1" xr10:uid="{E4037DF8-22B9-4E30-9AE5-74084C89FA94}" cache="Срез_категория" caption="категория" rowHeight="241300"/>
  <slicer name="товар 1" xr10:uid="{C133557A-03D8-4B79-B5C5-06E7C0E420CC}" cache="Срез_товар" caption="товар" rowHeight="241300"/>
  <slicer name="Годы (Дата заказа) 1" xr10:uid="{13BC9029-F8A5-4729-99CC-FFA74DE9C2F6}" cache="Срез_Годы__Дата_заказа" caption="Годы (Дата заказа)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628F2-D428-4828-A37C-2F850A9DB4DE}" name="Таблица1" displayName="Таблица1" ref="A1:I58" totalsRowShown="0" headerRowDxfId="1" headerRowBorderDxfId="11" tableBorderDxfId="12" totalsRowBorderDxfId="10">
  <autoFilter ref="A1:I58" xr:uid="{6E5628F2-D428-4828-A37C-2F850A9DB4DE}"/>
  <tableColumns count="9">
    <tableColumn id="1" xr3:uid="{6631CA54-5237-4367-81AA-050BE3B113B8}" name="Регион" dataDxfId="9"/>
    <tableColumn id="2" xr3:uid="{6AD5D3CF-36AA-466E-A418-169AC02562B6}" name="категория" dataDxfId="8"/>
    <tableColumn id="9" xr3:uid="{183A2C03-04DF-4291-850C-32C3C46FBEF4}" name="товар" dataDxfId="0"/>
    <tableColumn id="3" xr3:uid="{7CE6E992-291D-49B3-98DC-32B7AC4001A0}" name="Дата заказа" dataDxfId="7"/>
    <tableColumn id="4" xr3:uid="{9ECFC6CC-DEEC-4853-BCE8-DC0A1C6BC98B}" name="Заказчики" dataDxfId="6"/>
    <tableColumn id="5" xr3:uid="{9154F72F-6A43-4C9D-A3F4-8FCB786F2D0B}" name="Кол-во" dataDxfId="5"/>
    <tableColumn id="6" xr3:uid="{1E5AE759-F6FF-47EA-AA2C-0FE14F7B0615}" name="Доход" dataDxfId="4"/>
    <tableColumn id="7" xr3:uid="{B1C6A989-6677-44DC-9337-DA66CADC3002}" name="Себест-ть" dataDxfId="3"/>
    <tableColumn id="8" xr3:uid="{0B7D9E0A-2491-44B2-AEC3-F23C94FF524B}" name="Прибыль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A49B-8CEC-4392-A4AB-3FC298DBED19}">
  <dimension ref="A1:O58"/>
  <sheetViews>
    <sheetView workbookViewId="0">
      <selection activeCell="O3" sqref="O3"/>
    </sheetView>
  </sheetViews>
  <sheetFormatPr defaultRowHeight="15" x14ac:dyDescent="0.25"/>
  <cols>
    <col min="1" max="1" width="9.5703125" customWidth="1"/>
    <col min="3" max="3" width="13.5703125" customWidth="1"/>
    <col min="4" max="4" width="12.5703125" customWidth="1"/>
    <col min="5" max="5" width="16" customWidth="1"/>
    <col min="7" max="7" width="12" customWidth="1"/>
    <col min="8" max="8" width="11.5703125" customWidth="1"/>
  </cols>
  <sheetData>
    <row r="1" spans="1:15" x14ac:dyDescent="0.25">
      <c r="A1" s="5" t="s">
        <v>0</v>
      </c>
      <c r="B1" s="6" t="s">
        <v>40</v>
      </c>
      <c r="C1" s="6" t="s">
        <v>41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7" t="s">
        <v>6</v>
      </c>
    </row>
    <row r="2" spans="1:15" x14ac:dyDescent="0.25">
      <c r="A2" s="3" t="s">
        <v>7</v>
      </c>
      <c r="B2" s="1" t="s">
        <v>24</v>
      </c>
      <c r="C2" s="1" t="s">
        <v>27</v>
      </c>
      <c r="D2" s="2">
        <v>42005</v>
      </c>
      <c r="E2" s="1" t="s">
        <v>8</v>
      </c>
      <c r="F2" s="1">
        <v>954</v>
      </c>
      <c r="G2" s="1">
        <v>22810</v>
      </c>
      <c r="H2" s="1">
        <v>10213</v>
      </c>
      <c r="I2" s="4">
        <f>Таблица1[[#This Row],[Доход]]-Таблица1[[#This Row],[Себест-ть]]</f>
        <v>12597</v>
      </c>
    </row>
    <row r="3" spans="1:15" x14ac:dyDescent="0.25">
      <c r="A3" s="3" t="s">
        <v>9</v>
      </c>
      <c r="B3" s="1" t="s">
        <v>25</v>
      </c>
      <c r="C3" s="1" t="s">
        <v>31</v>
      </c>
      <c r="D3" s="2">
        <v>42006</v>
      </c>
      <c r="E3" s="1" t="s">
        <v>10</v>
      </c>
      <c r="F3" s="1">
        <v>124</v>
      </c>
      <c r="G3" s="1">
        <v>2257</v>
      </c>
      <c r="H3" s="1">
        <v>998</v>
      </c>
      <c r="I3" s="4">
        <f>Таблица1[[#This Row],[Доход]]-Таблица1[[#This Row],[Себест-ть]]</f>
        <v>1259</v>
      </c>
      <c r="N3">
        <v>1</v>
      </c>
      <c r="O3" t="s">
        <v>51</v>
      </c>
    </row>
    <row r="4" spans="1:15" x14ac:dyDescent="0.25">
      <c r="A4" s="3" t="s">
        <v>7</v>
      </c>
      <c r="B4" s="1" t="s">
        <v>24</v>
      </c>
      <c r="C4" s="1" t="s">
        <v>28</v>
      </c>
      <c r="D4" s="2">
        <v>42008</v>
      </c>
      <c r="E4" s="1" t="s">
        <v>11</v>
      </c>
      <c r="F4" s="1">
        <v>425</v>
      </c>
      <c r="G4" s="1">
        <v>9152</v>
      </c>
      <c r="H4" s="1">
        <v>4083</v>
      </c>
      <c r="I4" s="4">
        <f>Таблица1[[#This Row],[Доход]]-Таблица1[[#This Row],[Себест-ть]]</f>
        <v>5069</v>
      </c>
    </row>
    <row r="5" spans="1:15" x14ac:dyDescent="0.25">
      <c r="A5" s="3" t="s">
        <v>7</v>
      </c>
      <c r="B5" s="1" t="s">
        <v>25</v>
      </c>
      <c r="C5" s="1" t="s">
        <v>32</v>
      </c>
      <c r="D5" s="2">
        <v>42008</v>
      </c>
      <c r="E5" s="1" t="s">
        <v>12</v>
      </c>
      <c r="F5" s="1">
        <v>773</v>
      </c>
      <c r="G5" s="1">
        <v>18552</v>
      </c>
      <c r="H5" s="1">
        <v>7883</v>
      </c>
      <c r="I5" s="4">
        <f>Таблица1[[#This Row],[Доход]]-Таблица1[[#This Row],[Себест-ть]]</f>
        <v>10669</v>
      </c>
    </row>
    <row r="6" spans="1:15" x14ac:dyDescent="0.25">
      <c r="A6" s="3" t="s">
        <v>7</v>
      </c>
      <c r="B6" s="1" t="s">
        <v>26</v>
      </c>
      <c r="C6" s="1" t="s">
        <v>35</v>
      </c>
      <c r="D6" s="2">
        <v>42011</v>
      </c>
      <c r="E6" s="1" t="s">
        <v>13</v>
      </c>
      <c r="F6" s="1">
        <v>401</v>
      </c>
      <c r="G6" s="1">
        <v>8456</v>
      </c>
      <c r="H6" s="1">
        <v>3389</v>
      </c>
      <c r="I6" s="4">
        <f>Таблица1[[#This Row],[Доход]]-Таблица1[[#This Row],[Себест-ть]]</f>
        <v>5067</v>
      </c>
    </row>
    <row r="7" spans="1:15" x14ac:dyDescent="0.25">
      <c r="A7" s="3" t="s">
        <v>7</v>
      </c>
      <c r="B7" s="1" t="s">
        <v>25</v>
      </c>
      <c r="C7" s="1" t="s">
        <v>33</v>
      </c>
      <c r="D7" s="2">
        <v>42011</v>
      </c>
      <c r="E7" s="1" t="s">
        <v>14</v>
      </c>
      <c r="F7" s="1">
        <v>1035</v>
      </c>
      <c r="G7" s="1">
        <v>21730</v>
      </c>
      <c r="H7" s="1">
        <v>9839</v>
      </c>
      <c r="I7" s="4">
        <f>Таблица1[[#This Row],[Доход]]-Таблица1[[#This Row],[Себест-ть]]</f>
        <v>11891</v>
      </c>
    </row>
    <row r="8" spans="1:15" x14ac:dyDescent="0.25">
      <c r="A8" s="3" t="s">
        <v>9</v>
      </c>
      <c r="B8" s="1" t="s">
        <v>26</v>
      </c>
      <c r="C8" s="1" t="s">
        <v>36</v>
      </c>
      <c r="D8" s="2">
        <v>42013</v>
      </c>
      <c r="E8" s="1" t="s">
        <v>13</v>
      </c>
      <c r="F8" s="1">
        <v>750</v>
      </c>
      <c r="G8" s="1">
        <v>16416</v>
      </c>
      <c r="H8" s="1">
        <v>6768</v>
      </c>
      <c r="I8" s="4">
        <f>Таблица1[[#This Row],[Доход]]-Таблица1[[#This Row],[Себест-ть]]</f>
        <v>9648</v>
      </c>
    </row>
    <row r="9" spans="1:15" x14ac:dyDescent="0.25">
      <c r="A9" s="3" t="s">
        <v>9</v>
      </c>
      <c r="B9" s="1" t="s">
        <v>24</v>
      </c>
      <c r="C9" s="1" t="s">
        <v>29</v>
      </c>
      <c r="D9" s="2">
        <v>42014</v>
      </c>
      <c r="E9" s="1" t="s">
        <v>15</v>
      </c>
      <c r="F9" s="1">
        <v>901</v>
      </c>
      <c r="G9" s="1">
        <v>21438</v>
      </c>
      <c r="H9" s="1">
        <v>9209</v>
      </c>
      <c r="I9" s="4">
        <f>Таблица1[[#This Row],[Доход]]-Таблица1[[#This Row],[Себест-ть]]</f>
        <v>12229</v>
      </c>
    </row>
    <row r="10" spans="1:15" x14ac:dyDescent="0.25">
      <c r="A10" s="3" t="s">
        <v>9</v>
      </c>
      <c r="B10" s="1" t="s">
        <v>26</v>
      </c>
      <c r="C10" s="1" t="s">
        <v>37</v>
      </c>
      <c r="D10" s="2">
        <v>42016</v>
      </c>
      <c r="E10" s="1" t="s">
        <v>16</v>
      </c>
      <c r="F10" s="1">
        <v>342</v>
      </c>
      <c r="G10" s="1">
        <v>6267</v>
      </c>
      <c r="H10" s="1">
        <v>2541</v>
      </c>
      <c r="I10" s="4">
        <f>Таблица1[[#This Row],[Доход]]-Таблица1[[#This Row],[Себест-ть]]</f>
        <v>3726</v>
      </c>
    </row>
    <row r="11" spans="1:15" x14ac:dyDescent="0.25">
      <c r="A11" s="3" t="s">
        <v>7</v>
      </c>
      <c r="B11" s="1" t="s">
        <v>24</v>
      </c>
      <c r="C11" s="1" t="s">
        <v>29</v>
      </c>
      <c r="D11" s="2">
        <v>42018</v>
      </c>
      <c r="E11" s="1" t="s">
        <v>17</v>
      </c>
      <c r="F11" s="1">
        <v>91</v>
      </c>
      <c r="G11" s="1">
        <v>2401</v>
      </c>
      <c r="H11" s="1">
        <v>1031</v>
      </c>
      <c r="I11" s="4">
        <f>Таблица1[[#This Row],[Доход]]-Таблица1[[#This Row],[Себест-ть]]</f>
        <v>1370</v>
      </c>
    </row>
    <row r="12" spans="1:15" x14ac:dyDescent="0.25">
      <c r="A12" s="3" t="s">
        <v>7</v>
      </c>
      <c r="B12" s="1" t="s">
        <v>26</v>
      </c>
      <c r="C12" s="1" t="s">
        <v>38</v>
      </c>
      <c r="D12" s="2">
        <v>42019</v>
      </c>
      <c r="E12" s="1" t="s">
        <v>10</v>
      </c>
      <c r="F12" s="1">
        <v>547</v>
      </c>
      <c r="G12" s="1">
        <v>9345</v>
      </c>
      <c r="H12" s="1">
        <v>4239</v>
      </c>
      <c r="I12" s="4">
        <f>Таблица1[[#This Row],[Доход]]-Таблица1[[#This Row],[Себест-ть]]</f>
        <v>5106</v>
      </c>
    </row>
    <row r="13" spans="1:15" x14ac:dyDescent="0.25">
      <c r="A13" s="3" t="s">
        <v>7</v>
      </c>
      <c r="B13" s="1" t="s">
        <v>26</v>
      </c>
      <c r="C13" s="1" t="s">
        <v>35</v>
      </c>
      <c r="D13" s="2">
        <v>42020</v>
      </c>
      <c r="E13" s="1" t="s">
        <v>18</v>
      </c>
      <c r="F13" s="1">
        <v>558</v>
      </c>
      <c r="G13" s="1">
        <v>11628</v>
      </c>
      <c r="H13" s="1">
        <v>5093</v>
      </c>
      <c r="I13" s="4">
        <f>Таблица1[[#This Row],[Доход]]-Таблица1[[#This Row],[Себест-ть]]</f>
        <v>6535</v>
      </c>
    </row>
    <row r="14" spans="1:15" x14ac:dyDescent="0.25">
      <c r="A14" s="3" t="s">
        <v>19</v>
      </c>
      <c r="B14" s="1" t="s">
        <v>25</v>
      </c>
      <c r="C14" s="1" t="s">
        <v>32</v>
      </c>
      <c r="D14" s="2">
        <v>42023</v>
      </c>
      <c r="E14" s="1" t="s">
        <v>10</v>
      </c>
      <c r="F14" s="1">
        <v>100</v>
      </c>
      <c r="G14" s="1">
        <v>2042</v>
      </c>
      <c r="H14" s="1">
        <v>983</v>
      </c>
      <c r="I14" s="4">
        <f>Таблица1[[#This Row],[Доход]]-Таблица1[[#This Row],[Себест-ть]]</f>
        <v>1059</v>
      </c>
    </row>
    <row r="15" spans="1:15" x14ac:dyDescent="0.25">
      <c r="A15" s="3" t="s">
        <v>19</v>
      </c>
      <c r="B15" s="1" t="s">
        <v>26</v>
      </c>
      <c r="C15" s="1" t="s">
        <v>35</v>
      </c>
      <c r="D15" s="2">
        <v>42025</v>
      </c>
      <c r="E15" s="1" t="s">
        <v>12</v>
      </c>
      <c r="F15" s="1">
        <v>250</v>
      </c>
      <c r="G15" s="1">
        <v>3552</v>
      </c>
      <c r="H15" s="1">
        <v>1696</v>
      </c>
      <c r="I15" s="4">
        <f>Таблица1[[#This Row],[Доход]]-Таблица1[[#This Row],[Себест-ть]]</f>
        <v>1856</v>
      </c>
    </row>
    <row r="16" spans="1:15" x14ac:dyDescent="0.25">
      <c r="A16" s="3" t="s">
        <v>7</v>
      </c>
      <c r="B16" s="1" t="s">
        <v>26</v>
      </c>
      <c r="C16" s="1" t="s">
        <v>36</v>
      </c>
      <c r="D16" s="2">
        <v>42025</v>
      </c>
      <c r="E16" s="1" t="s">
        <v>20</v>
      </c>
      <c r="F16" s="1">
        <v>760</v>
      </c>
      <c r="G16" s="1">
        <v>14440</v>
      </c>
      <c r="H16" s="1">
        <v>6790</v>
      </c>
      <c r="I16" s="4">
        <f>Таблица1[[#This Row],[Доход]]-Таблица1[[#This Row],[Себест-ть]]</f>
        <v>7650</v>
      </c>
    </row>
    <row r="17" spans="1:9" x14ac:dyDescent="0.25">
      <c r="A17" s="3" t="s">
        <v>19</v>
      </c>
      <c r="B17" s="1" t="s">
        <v>26</v>
      </c>
      <c r="C17" s="1" t="s">
        <v>38</v>
      </c>
      <c r="D17" s="2">
        <v>42027</v>
      </c>
      <c r="E17" s="1" t="s">
        <v>13</v>
      </c>
      <c r="F17" s="1">
        <v>810</v>
      </c>
      <c r="G17" s="1">
        <v>14592</v>
      </c>
      <c r="H17" s="1">
        <v>6781</v>
      </c>
      <c r="I17" s="4">
        <f>Таблица1[[#This Row],[Доход]]-Таблица1[[#This Row],[Себест-ть]]</f>
        <v>7811</v>
      </c>
    </row>
    <row r="18" spans="1:9" x14ac:dyDescent="0.25">
      <c r="A18" s="3" t="s">
        <v>7</v>
      </c>
      <c r="B18" s="1" t="s">
        <v>26</v>
      </c>
      <c r="C18" s="1" t="s">
        <v>35</v>
      </c>
      <c r="D18" s="2">
        <v>42028</v>
      </c>
      <c r="E18" s="1" t="s">
        <v>16</v>
      </c>
      <c r="F18" s="1">
        <v>606</v>
      </c>
      <c r="G18" s="1">
        <v>12606</v>
      </c>
      <c r="H18" s="1">
        <v>5090</v>
      </c>
      <c r="I18" s="4">
        <f>Таблица1[[#This Row],[Доход]]-Таблица1[[#This Row],[Себест-ть]]</f>
        <v>7516</v>
      </c>
    </row>
    <row r="19" spans="1:9" x14ac:dyDescent="0.25">
      <c r="A19" s="3" t="s">
        <v>9</v>
      </c>
      <c r="B19" s="1" t="s">
        <v>26</v>
      </c>
      <c r="C19" s="1" t="s">
        <v>37</v>
      </c>
      <c r="D19" s="2">
        <v>42029</v>
      </c>
      <c r="E19" s="1" t="s">
        <v>18</v>
      </c>
      <c r="F19" s="1">
        <v>964</v>
      </c>
      <c r="G19" s="1">
        <v>20770</v>
      </c>
      <c r="H19" s="1">
        <v>8463</v>
      </c>
      <c r="I19" s="4">
        <f>Таблица1[[#This Row],[Доход]]-Таблица1[[#This Row],[Себест-ть]]</f>
        <v>12307</v>
      </c>
    </row>
    <row r="20" spans="1:9" x14ac:dyDescent="0.25">
      <c r="A20" s="3" t="s">
        <v>7</v>
      </c>
      <c r="B20" s="1" t="s">
        <v>26</v>
      </c>
      <c r="C20" s="1" t="s">
        <v>36</v>
      </c>
      <c r="D20" s="2">
        <v>42030</v>
      </c>
      <c r="E20" s="1" t="s">
        <v>16</v>
      </c>
      <c r="F20" s="1">
        <v>365</v>
      </c>
      <c r="G20" s="1">
        <v>8128</v>
      </c>
      <c r="H20" s="1">
        <v>3400</v>
      </c>
      <c r="I20" s="4">
        <f>Таблица1[[#This Row],[Доход]]-Таблица1[[#This Row],[Себест-ть]]</f>
        <v>4728</v>
      </c>
    </row>
    <row r="21" spans="1:9" x14ac:dyDescent="0.25">
      <c r="A21" s="3" t="s">
        <v>7</v>
      </c>
      <c r="B21" s="1" t="s">
        <v>26</v>
      </c>
      <c r="C21" s="1" t="s">
        <v>39</v>
      </c>
      <c r="D21" s="2">
        <v>42033</v>
      </c>
      <c r="E21" s="1" t="s">
        <v>11</v>
      </c>
      <c r="F21" s="1">
        <v>389</v>
      </c>
      <c r="G21" s="1">
        <v>7136</v>
      </c>
      <c r="H21" s="1">
        <v>3403</v>
      </c>
      <c r="I21" s="4">
        <f>Таблица1[[#This Row],[Доход]]-Таблица1[[#This Row],[Себест-ть]]</f>
        <v>3733</v>
      </c>
    </row>
    <row r="22" spans="1:9" x14ac:dyDescent="0.25">
      <c r="A22" s="3" t="s">
        <v>7</v>
      </c>
      <c r="B22" s="1" t="s">
        <v>25</v>
      </c>
      <c r="C22" s="1" t="s">
        <v>32</v>
      </c>
      <c r="D22" s="2">
        <v>42033</v>
      </c>
      <c r="E22" s="1" t="s">
        <v>13</v>
      </c>
      <c r="F22" s="1">
        <v>652</v>
      </c>
      <c r="G22" s="1">
        <v>17150</v>
      </c>
      <c r="H22" s="1">
        <v>6888</v>
      </c>
      <c r="I22" s="4">
        <f>Таблица1[[#This Row],[Доход]]-Таблица1[[#This Row],[Себест-ть]]</f>
        <v>10262</v>
      </c>
    </row>
    <row r="23" spans="1:9" x14ac:dyDescent="0.25">
      <c r="A23" s="3" t="s">
        <v>7</v>
      </c>
      <c r="B23" s="1" t="s">
        <v>25</v>
      </c>
      <c r="C23" s="1" t="s">
        <v>33</v>
      </c>
      <c r="D23" s="2">
        <v>42034</v>
      </c>
      <c r="E23" s="1" t="s">
        <v>15</v>
      </c>
      <c r="F23" s="1">
        <v>338</v>
      </c>
      <c r="G23" s="1">
        <v>6714</v>
      </c>
      <c r="H23" s="1">
        <v>2967</v>
      </c>
      <c r="I23" s="4">
        <f>Таблица1[[#This Row],[Доход]]-Таблица1[[#This Row],[Себест-ть]]</f>
        <v>3747</v>
      </c>
    </row>
    <row r="24" spans="1:9" x14ac:dyDescent="0.25">
      <c r="A24" s="3" t="s">
        <v>7</v>
      </c>
      <c r="B24" s="1" t="s">
        <v>26</v>
      </c>
      <c r="C24" s="1" t="s">
        <v>38</v>
      </c>
      <c r="D24" s="2">
        <v>42035</v>
      </c>
      <c r="E24" s="1" t="s">
        <v>13</v>
      </c>
      <c r="F24" s="1">
        <v>766</v>
      </c>
      <c r="G24" s="1">
        <v>15640</v>
      </c>
      <c r="H24" s="1">
        <v>6782</v>
      </c>
      <c r="I24" s="4">
        <f>Таблица1[[#This Row],[Доход]]-Таблица1[[#This Row],[Себест-ть]]</f>
        <v>8858</v>
      </c>
    </row>
    <row r="25" spans="1:9" x14ac:dyDescent="0.25">
      <c r="A25" s="3" t="s">
        <v>19</v>
      </c>
      <c r="B25" s="1" t="s">
        <v>26</v>
      </c>
      <c r="C25" s="1" t="s">
        <v>35</v>
      </c>
      <c r="D25" s="2">
        <v>42036</v>
      </c>
      <c r="E25" s="1" t="s">
        <v>15</v>
      </c>
      <c r="F25" s="1">
        <v>346</v>
      </c>
      <c r="G25" s="1">
        <v>5532</v>
      </c>
      <c r="H25" s="1">
        <v>2541</v>
      </c>
      <c r="I25" s="4">
        <f>Таблица1[[#This Row],[Доход]]-Таблица1[[#This Row],[Себест-ть]]</f>
        <v>2991</v>
      </c>
    </row>
    <row r="26" spans="1:9" x14ac:dyDescent="0.25">
      <c r="A26" s="3" t="s">
        <v>19</v>
      </c>
      <c r="B26" s="1" t="s">
        <v>25</v>
      </c>
      <c r="C26" s="1" t="s">
        <v>31</v>
      </c>
      <c r="D26" s="2">
        <v>42038</v>
      </c>
      <c r="E26" s="1" t="s">
        <v>10</v>
      </c>
      <c r="F26" s="1">
        <v>817</v>
      </c>
      <c r="G26" s="1">
        <v>17160</v>
      </c>
      <c r="H26" s="1">
        <v>7864</v>
      </c>
      <c r="I26" s="4">
        <f>Таблица1[[#This Row],[Доход]]-Таблица1[[#This Row],[Себест-ть]]</f>
        <v>9296</v>
      </c>
    </row>
    <row r="27" spans="1:9" x14ac:dyDescent="0.25">
      <c r="A27" s="3" t="s">
        <v>7</v>
      </c>
      <c r="B27" s="1" t="s">
        <v>25</v>
      </c>
      <c r="C27" s="1" t="s">
        <v>31</v>
      </c>
      <c r="D27" s="2">
        <v>42041</v>
      </c>
      <c r="E27" s="1" t="s">
        <v>21</v>
      </c>
      <c r="F27" s="1">
        <v>902</v>
      </c>
      <c r="G27" s="1">
        <v>21708</v>
      </c>
      <c r="H27" s="1">
        <v>8866</v>
      </c>
      <c r="I27" s="4">
        <f>Таблица1[[#This Row],[Доход]]-Таблица1[[#This Row],[Себест-ть]]</f>
        <v>12842</v>
      </c>
    </row>
    <row r="28" spans="1:9" x14ac:dyDescent="0.25">
      <c r="A28" s="3" t="s">
        <v>19</v>
      </c>
      <c r="B28" s="1" t="s">
        <v>26</v>
      </c>
      <c r="C28" s="1" t="s">
        <v>36</v>
      </c>
      <c r="D28" s="2">
        <v>42042</v>
      </c>
      <c r="E28" s="1" t="s">
        <v>16</v>
      </c>
      <c r="F28" s="1">
        <v>985</v>
      </c>
      <c r="G28" s="1">
        <v>19890</v>
      </c>
      <c r="H28" s="1">
        <v>8467</v>
      </c>
      <c r="I28" s="4">
        <f>Таблица1[[#This Row],[Доход]]-Таблица1[[#This Row],[Себест-ть]]</f>
        <v>11423</v>
      </c>
    </row>
    <row r="29" spans="1:9" x14ac:dyDescent="0.25">
      <c r="A29" s="3" t="s">
        <v>9</v>
      </c>
      <c r="B29" s="1" t="s">
        <v>26</v>
      </c>
      <c r="C29" s="1" t="s">
        <v>38</v>
      </c>
      <c r="D29" s="2">
        <v>42043</v>
      </c>
      <c r="E29" s="1" t="s">
        <v>18</v>
      </c>
      <c r="F29" s="1">
        <v>116</v>
      </c>
      <c r="G29" s="1">
        <v>1817</v>
      </c>
      <c r="H29" s="1">
        <v>838</v>
      </c>
      <c r="I29" s="4">
        <f>Таблица1[[#This Row],[Доход]]-Таблица1[[#This Row],[Себест-ть]]</f>
        <v>979</v>
      </c>
    </row>
    <row r="30" spans="1:9" x14ac:dyDescent="0.25">
      <c r="A30" s="3" t="s">
        <v>9</v>
      </c>
      <c r="B30" s="1" t="s">
        <v>26</v>
      </c>
      <c r="C30" s="1" t="s">
        <v>39</v>
      </c>
      <c r="D30" s="2">
        <v>42044</v>
      </c>
      <c r="E30" s="1" t="s">
        <v>13</v>
      </c>
      <c r="F30" s="1">
        <v>330</v>
      </c>
      <c r="G30" s="1">
        <v>5157</v>
      </c>
      <c r="H30" s="1">
        <v>2554</v>
      </c>
      <c r="I30" s="4">
        <f>Таблица1[[#This Row],[Доход]]-Таблица1[[#This Row],[Себест-ть]]</f>
        <v>2603</v>
      </c>
    </row>
    <row r="31" spans="1:9" x14ac:dyDescent="0.25">
      <c r="A31" s="3" t="s">
        <v>7</v>
      </c>
      <c r="B31" s="1" t="s">
        <v>25</v>
      </c>
      <c r="C31" s="1" t="s">
        <v>34</v>
      </c>
      <c r="D31" s="2">
        <v>42049</v>
      </c>
      <c r="E31" s="1" t="s">
        <v>18</v>
      </c>
      <c r="F31" s="1">
        <v>706</v>
      </c>
      <c r="G31" s="1">
        <v>13867</v>
      </c>
      <c r="H31" s="1">
        <v>6895</v>
      </c>
      <c r="I31" s="4">
        <f>Таблица1[[#This Row],[Доход]]-Таблица1[[#This Row],[Себест-ть]]</f>
        <v>6972</v>
      </c>
    </row>
    <row r="32" spans="1:9" x14ac:dyDescent="0.25">
      <c r="A32" s="3" t="s">
        <v>7</v>
      </c>
      <c r="B32" s="1" t="s">
        <v>24</v>
      </c>
      <c r="C32" s="1" t="s">
        <v>30</v>
      </c>
      <c r="D32" s="2">
        <v>42051</v>
      </c>
      <c r="E32" s="1" t="s">
        <v>22</v>
      </c>
      <c r="F32" s="1">
        <v>780</v>
      </c>
      <c r="G32" s="1">
        <v>16936</v>
      </c>
      <c r="H32" s="1">
        <v>8182</v>
      </c>
      <c r="I32" s="4">
        <f>Таблица1[[#This Row],[Доход]]-Таблица1[[#This Row],[Себест-ть]]</f>
        <v>8754</v>
      </c>
    </row>
    <row r="33" spans="1:9" x14ac:dyDescent="0.25">
      <c r="A33" s="3" t="s">
        <v>7</v>
      </c>
      <c r="B33" s="1" t="s">
        <v>26</v>
      </c>
      <c r="C33" s="1" t="s">
        <v>38</v>
      </c>
      <c r="D33" s="2">
        <v>42052</v>
      </c>
      <c r="E33" s="1" t="s">
        <v>23</v>
      </c>
      <c r="F33" s="1">
        <v>624</v>
      </c>
      <c r="G33" s="1">
        <v>11430</v>
      </c>
      <c r="H33" s="1">
        <v>5095</v>
      </c>
      <c r="I33" s="4">
        <f>Таблица1[[#This Row],[Доход]]-Таблица1[[#This Row],[Себест-ть]]</f>
        <v>6335</v>
      </c>
    </row>
    <row r="34" spans="1:9" x14ac:dyDescent="0.25">
      <c r="A34" s="3" t="s">
        <v>19</v>
      </c>
      <c r="B34" s="1" t="s">
        <v>26</v>
      </c>
      <c r="C34" s="1" t="s">
        <v>37</v>
      </c>
      <c r="D34" s="2">
        <v>42053</v>
      </c>
      <c r="E34" s="1" t="s">
        <v>15</v>
      </c>
      <c r="F34" s="1">
        <v>1020</v>
      </c>
      <c r="G34" s="1">
        <v>20251</v>
      </c>
      <c r="H34" s="1">
        <v>8466</v>
      </c>
      <c r="I34" s="4">
        <f>Таблица1[[#This Row],[Доход]]-Таблица1[[#This Row],[Себест-ть]]</f>
        <v>11785</v>
      </c>
    </row>
    <row r="35" spans="1:9" x14ac:dyDescent="0.25">
      <c r="A35" s="3" t="s">
        <v>7</v>
      </c>
      <c r="B35" s="1" t="s">
        <v>25</v>
      </c>
      <c r="C35" s="1" t="s">
        <v>32</v>
      </c>
      <c r="D35" s="2">
        <v>42399</v>
      </c>
      <c r="E35" s="1" t="s">
        <v>15</v>
      </c>
      <c r="F35" s="1">
        <v>338</v>
      </c>
      <c r="G35" s="1">
        <v>6714</v>
      </c>
      <c r="H35" s="1">
        <v>2967</v>
      </c>
      <c r="I35" s="4">
        <f>Таблица1[[#This Row],[Доход]]-Таблица1[[#This Row],[Себест-ть]]</f>
        <v>3747</v>
      </c>
    </row>
    <row r="36" spans="1:9" x14ac:dyDescent="0.25">
      <c r="A36" s="3" t="s">
        <v>7</v>
      </c>
      <c r="B36" s="1" t="s">
        <v>26</v>
      </c>
      <c r="C36" s="1" t="s">
        <v>35</v>
      </c>
      <c r="D36" s="2">
        <v>42400</v>
      </c>
      <c r="E36" s="1" t="s">
        <v>13</v>
      </c>
      <c r="F36" s="1">
        <v>766</v>
      </c>
      <c r="G36" s="1">
        <v>15640</v>
      </c>
      <c r="H36" s="1">
        <v>6782</v>
      </c>
      <c r="I36" s="4">
        <f>Таблица1[[#This Row],[Доход]]-Таблица1[[#This Row],[Себест-ть]]</f>
        <v>8858</v>
      </c>
    </row>
    <row r="37" spans="1:9" x14ac:dyDescent="0.25">
      <c r="A37" s="3" t="s">
        <v>19</v>
      </c>
      <c r="B37" s="1" t="s">
        <v>26</v>
      </c>
      <c r="C37" s="1" t="s">
        <v>38</v>
      </c>
      <c r="D37" s="2">
        <v>42401</v>
      </c>
      <c r="E37" s="1" t="s">
        <v>15</v>
      </c>
      <c r="F37" s="1">
        <v>346</v>
      </c>
      <c r="G37" s="1">
        <v>5532</v>
      </c>
      <c r="H37" s="1">
        <v>2541</v>
      </c>
      <c r="I37" s="4">
        <f>Таблица1[[#This Row],[Доход]]-Таблица1[[#This Row],[Себест-ть]]</f>
        <v>2991</v>
      </c>
    </row>
    <row r="38" spans="1:9" x14ac:dyDescent="0.25">
      <c r="A38" s="3" t="s">
        <v>19</v>
      </c>
      <c r="B38" s="1" t="s">
        <v>25</v>
      </c>
      <c r="C38" s="1" t="s">
        <v>34</v>
      </c>
      <c r="D38" s="2">
        <v>42403</v>
      </c>
      <c r="E38" s="1" t="s">
        <v>10</v>
      </c>
      <c r="F38" s="1">
        <v>817</v>
      </c>
      <c r="G38" s="1">
        <v>17160</v>
      </c>
      <c r="H38" s="1">
        <v>7864</v>
      </c>
      <c r="I38" s="4">
        <f>Таблица1[[#This Row],[Доход]]-Таблица1[[#This Row],[Себест-ть]]</f>
        <v>9296</v>
      </c>
    </row>
    <row r="39" spans="1:9" x14ac:dyDescent="0.25">
      <c r="A39" s="3" t="s">
        <v>7</v>
      </c>
      <c r="B39" s="1" t="s">
        <v>25</v>
      </c>
      <c r="C39" s="1" t="s">
        <v>33</v>
      </c>
      <c r="D39" s="2">
        <v>42406</v>
      </c>
      <c r="E39" s="1" t="s">
        <v>21</v>
      </c>
      <c r="F39" s="1">
        <v>902</v>
      </c>
      <c r="G39" s="1">
        <v>21708</v>
      </c>
      <c r="H39" s="1">
        <v>8866</v>
      </c>
      <c r="I39" s="4">
        <f>Таблица1[[#This Row],[Доход]]-Таблица1[[#This Row],[Себест-ть]]</f>
        <v>12842</v>
      </c>
    </row>
    <row r="40" spans="1:9" x14ac:dyDescent="0.25">
      <c r="A40" s="3" t="s">
        <v>19</v>
      </c>
      <c r="B40" s="1" t="s">
        <v>26</v>
      </c>
      <c r="C40" s="1" t="s">
        <v>36</v>
      </c>
      <c r="D40" s="2">
        <v>42407</v>
      </c>
      <c r="E40" s="1" t="s">
        <v>16</v>
      </c>
      <c r="F40" s="1">
        <v>985</v>
      </c>
      <c r="G40" s="1">
        <v>19890</v>
      </c>
      <c r="H40" s="1">
        <v>8467</v>
      </c>
      <c r="I40" s="4">
        <f>Таблица1[[#This Row],[Доход]]-Таблица1[[#This Row],[Себест-ть]]</f>
        <v>11423</v>
      </c>
    </row>
    <row r="41" spans="1:9" x14ac:dyDescent="0.25">
      <c r="A41" s="3" t="s">
        <v>9</v>
      </c>
      <c r="B41" s="1" t="s">
        <v>26</v>
      </c>
      <c r="C41" s="1" t="s">
        <v>39</v>
      </c>
      <c r="D41" s="2">
        <v>42408</v>
      </c>
      <c r="E41" s="1" t="s">
        <v>18</v>
      </c>
      <c r="F41" s="1">
        <v>116</v>
      </c>
      <c r="G41" s="1">
        <v>1817</v>
      </c>
      <c r="H41" s="1">
        <v>838</v>
      </c>
      <c r="I41" s="4">
        <f>Таблица1[[#This Row],[Доход]]-Таблица1[[#This Row],[Себест-ть]]</f>
        <v>979</v>
      </c>
    </row>
    <row r="42" spans="1:9" x14ac:dyDescent="0.25">
      <c r="A42" s="3" t="s">
        <v>9</v>
      </c>
      <c r="B42" s="1" t="s">
        <v>26</v>
      </c>
      <c r="C42" s="1" t="s">
        <v>36</v>
      </c>
      <c r="D42" s="2">
        <v>42409</v>
      </c>
      <c r="E42" s="1" t="s">
        <v>13</v>
      </c>
      <c r="F42" s="1">
        <v>330</v>
      </c>
      <c r="G42" s="1">
        <v>5157</v>
      </c>
      <c r="H42" s="1">
        <v>2554</v>
      </c>
      <c r="I42" s="4">
        <f>Таблица1[[#This Row],[Доход]]-Таблица1[[#This Row],[Себест-ть]]</f>
        <v>2603</v>
      </c>
    </row>
    <row r="43" spans="1:9" x14ac:dyDescent="0.25">
      <c r="A43" s="3" t="s">
        <v>7</v>
      </c>
      <c r="B43" s="1" t="s">
        <v>25</v>
      </c>
      <c r="C43" s="1" t="s">
        <v>33</v>
      </c>
      <c r="D43" s="2">
        <v>42439</v>
      </c>
      <c r="E43" s="1" t="s">
        <v>18</v>
      </c>
      <c r="F43" s="1">
        <v>706</v>
      </c>
      <c r="G43" s="1">
        <v>13867</v>
      </c>
      <c r="H43" s="1">
        <v>6895</v>
      </c>
      <c r="I43" s="4">
        <f>Таблица1[[#This Row],[Доход]]-Таблица1[[#This Row],[Себест-ть]]</f>
        <v>6972</v>
      </c>
    </row>
    <row r="44" spans="1:9" x14ac:dyDescent="0.25">
      <c r="A44" s="3" t="s">
        <v>7</v>
      </c>
      <c r="B44" s="1" t="s">
        <v>24</v>
      </c>
      <c r="C44" s="1" t="s">
        <v>27</v>
      </c>
      <c r="D44" s="2">
        <v>42440</v>
      </c>
      <c r="E44" s="1" t="s">
        <v>22</v>
      </c>
      <c r="F44" s="1">
        <v>780</v>
      </c>
      <c r="G44" s="1">
        <v>16936</v>
      </c>
      <c r="H44" s="1">
        <v>8182</v>
      </c>
      <c r="I44" s="4">
        <f>Таблица1[[#This Row],[Доход]]-Таблица1[[#This Row],[Себест-ть]]</f>
        <v>8754</v>
      </c>
    </row>
    <row r="45" spans="1:9" x14ac:dyDescent="0.25">
      <c r="A45" s="3" t="s">
        <v>7</v>
      </c>
      <c r="B45" s="1" t="s">
        <v>26</v>
      </c>
      <c r="C45" s="1" t="s">
        <v>38</v>
      </c>
      <c r="D45" s="2">
        <v>42441</v>
      </c>
      <c r="E45" s="1" t="s">
        <v>23</v>
      </c>
      <c r="F45" s="1">
        <v>624</v>
      </c>
      <c r="G45" s="1">
        <v>11430</v>
      </c>
      <c r="H45" s="1">
        <v>5095</v>
      </c>
      <c r="I45" s="4">
        <f>Таблица1[[#This Row],[Доход]]-Таблица1[[#This Row],[Себест-ть]]</f>
        <v>6335</v>
      </c>
    </row>
    <row r="46" spans="1:9" x14ac:dyDescent="0.25">
      <c r="A46" s="3" t="s">
        <v>19</v>
      </c>
      <c r="B46" s="1" t="s">
        <v>26</v>
      </c>
      <c r="C46" s="1" t="s">
        <v>35</v>
      </c>
      <c r="D46" s="2">
        <v>42442</v>
      </c>
      <c r="E46" s="1" t="s">
        <v>15</v>
      </c>
      <c r="F46" s="1">
        <v>1022</v>
      </c>
      <c r="G46" s="1">
        <v>20252</v>
      </c>
      <c r="H46" s="1">
        <v>8466</v>
      </c>
      <c r="I46" s="4">
        <f>Таблица1[[#This Row],[Доход]]-Таблица1[[#This Row],[Себест-ть]]</f>
        <v>11786</v>
      </c>
    </row>
    <row r="47" spans="1:9" x14ac:dyDescent="0.25">
      <c r="A47" s="3" t="s">
        <v>19</v>
      </c>
      <c r="B47" s="1" t="s">
        <v>26</v>
      </c>
      <c r="C47" s="1" t="s">
        <v>37</v>
      </c>
      <c r="D47" s="2">
        <v>42742</v>
      </c>
      <c r="E47" s="1" t="s">
        <v>16</v>
      </c>
      <c r="F47" s="1">
        <v>985</v>
      </c>
      <c r="G47" s="1">
        <v>19890</v>
      </c>
      <c r="H47" s="1">
        <v>8467</v>
      </c>
      <c r="I47" s="4">
        <f>Таблица1[[#This Row],[Доход]]-Таблица1[[#This Row],[Себест-ть]]</f>
        <v>11423</v>
      </c>
    </row>
    <row r="48" spans="1:9" x14ac:dyDescent="0.25">
      <c r="A48" s="3" t="s">
        <v>9</v>
      </c>
      <c r="B48" s="1" t="s">
        <v>26</v>
      </c>
      <c r="C48" s="1" t="s">
        <v>36</v>
      </c>
      <c r="D48" s="2">
        <v>42749</v>
      </c>
      <c r="E48" s="1" t="s">
        <v>18</v>
      </c>
      <c r="F48" s="1">
        <v>116</v>
      </c>
      <c r="G48" s="1">
        <v>1817</v>
      </c>
      <c r="H48" s="1">
        <v>838</v>
      </c>
      <c r="I48" s="4">
        <f>Таблица1[[#This Row],[Доход]]-Таблица1[[#This Row],[Себест-ть]]</f>
        <v>979</v>
      </c>
    </row>
    <row r="49" spans="1:9" x14ac:dyDescent="0.25">
      <c r="A49" s="3" t="s">
        <v>9</v>
      </c>
      <c r="B49" s="1" t="s">
        <v>26</v>
      </c>
      <c r="C49" s="1" t="s">
        <v>39</v>
      </c>
      <c r="D49" s="2">
        <v>42764</v>
      </c>
      <c r="E49" s="1" t="s">
        <v>13</v>
      </c>
      <c r="F49" s="1">
        <v>330</v>
      </c>
      <c r="G49" s="1">
        <v>5157</v>
      </c>
      <c r="H49" s="1">
        <v>2554</v>
      </c>
      <c r="I49" s="4">
        <f>Таблица1[[#This Row],[Доход]]-Таблица1[[#This Row],[Себест-ть]]</f>
        <v>2603</v>
      </c>
    </row>
    <row r="50" spans="1:9" x14ac:dyDescent="0.25">
      <c r="A50" s="3" t="s">
        <v>7</v>
      </c>
      <c r="B50" s="1" t="s">
        <v>25</v>
      </c>
      <c r="C50" s="1" t="s">
        <v>33</v>
      </c>
      <c r="D50" s="2">
        <v>42780</v>
      </c>
      <c r="E50" s="1" t="s">
        <v>18</v>
      </c>
      <c r="F50" s="1">
        <v>706</v>
      </c>
      <c r="G50" s="1">
        <v>13867</v>
      </c>
      <c r="H50" s="1">
        <v>6895</v>
      </c>
      <c r="I50" s="4">
        <f>Таблица1[[#This Row],[Доход]]-Таблица1[[#This Row],[Себест-ть]]</f>
        <v>6972</v>
      </c>
    </row>
    <row r="51" spans="1:9" x14ac:dyDescent="0.25">
      <c r="A51" s="3" t="s">
        <v>7</v>
      </c>
      <c r="B51" s="1" t="s">
        <v>24</v>
      </c>
      <c r="C51" s="1" t="s">
        <v>28</v>
      </c>
      <c r="D51" s="2">
        <v>42781</v>
      </c>
      <c r="E51" s="1" t="s">
        <v>22</v>
      </c>
      <c r="F51" s="1">
        <v>780</v>
      </c>
      <c r="G51" s="1">
        <v>16936</v>
      </c>
      <c r="H51" s="1">
        <v>8182</v>
      </c>
      <c r="I51" s="4">
        <f>Таблица1[[#This Row],[Доход]]-Таблица1[[#This Row],[Себест-ть]]</f>
        <v>8754</v>
      </c>
    </row>
    <row r="52" spans="1:9" x14ac:dyDescent="0.25">
      <c r="A52" s="3" t="s">
        <v>7</v>
      </c>
      <c r="B52" s="1" t="s">
        <v>26</v>
      </c>
      <c r="C52" s="1" t="s">
        <v>37</v>
      </c>
      <c r="D52" s="2">
        <v>42782</v>
      </c>
      <c r="E52" s="1" t="s">
        <v>23</v>
      </c>
      <c r="F52" s="1">
        <v>624</v>
      </c>
      <c r="G52" s="1">
        <v>11430</v>
      </c>
      <c r="H52" s="1">
        <v>5095</v>
      </c>
      <c r="I52" s="4">
        <f>Таблица1[[#This Row],[Доход]]-Таблица1[[#This Row],[Себест-ть]]</f>
        <v>6335</v>
      </c>
    </row>
    <row r="53" spans="1:9" x14ac:dyDescent="0.25">
      <c r="A53" s="3" t="s">
        <v>19</v>
      </c>
      <c r="B53" s="1" t="s">
        <v>26</v>
      </c>
      <c r="C53" s="1" t="s">
        <v>36</v>
      </c>
      <c r="D53" s="2">
        <v>42783</v>
      </c>
      <c r="E53" s="1" t="s">
        <v>15</v>
      </c>
      <c r="F53" s="1">
        <v>1023</v>
      </c>
      <c r="G53" s="1">
        <v>20253</v>
      </c>
      <c r="H53" s="1">
        <v>8466</v>
      </c>
      <c r="I53" s="4">
        <f>Таблица1[[#This Row],[Доход]]-Таблица1[[#This Row],[Себест-ть]]</f>
        <v>11787</v>
      </c>
    </row>
    <row r="54" spans="1:9" x14ac:dyDescent="0.25">
      <c r="A54" s="3" t="s">
        <v>7</v>
      </c>
      <c r="B54" s="1" t="s">
        <v>25</v>
      </c>
      <c r="C54" s="1" t="s">
        <v>32</v>
      </c>
      <c r="D54" s="2">
        <v>42784</v>
      </c>
      <c r="E54" s="1" t="s">
        <v>15</v>
      </c>
      <c r="F54" s="1">
        <v>338</v>
      </c>
      <c r="G54" s="1">
        <v>6714</v>
      </c>
      <c r="H54" s="1">
        <v>2967</v>
      </c>
      <c r="I54" s="4">
        <f>Таблица1[[#This Row],[Доход]]-Таблица1[[#This Row],[Себест-ть]]</f>
        <v>3747</v>
      </c>
    </row>
    <row r="55" spans="1:9" x14ac:dyDescent="0.25">
      <c r="A55" s="3" t="s">
        <v>7</v>
      </c>
      <c r="B55" s="1" t="s">
        <v>26</v>
      </c>
      <c r="C55" s="1" t="s">
        <v>38</v>
      </c>
      <c r="D55" s="2">
        <v>42795</v>
      </c>
      <c r="E55" s="1" t="s">
        <v>13</v>
      </c>
      <c r="F55" s="1">
        <v>766</v>
      </c>
      <c r="G55" s="1">
        <v>15640</v>
      </c>
      <c r="H55" s="1">
        <v>6782</v>
      </c>
      <c r="I55" s="4">
        <f>Таблица1[[#This Row],[Доход]]-Таблица1[[#This Row],[Себест-ть]]</f>
        <v>8858</v>
      </c>
    </row>
    <row r="56" spans="1:9" x14ac:dyDescent="0.25">
      <c r="A56" s="3" t="s">
        <v>19</v>
      </c>
      <c r="B56" s="1" t="s">
        <v>26</v>
      </c>
      <c r="C56" s="1" t="s">
        <v>36</v>
      </c>
      <c r="D56" s="2">
        <v>42796</v>
      </c>
      <c r="E56" s="1" t="s">
        <v>15</v>
      </c>
      <c r="F56" s="1">
        <v>346</v>
      </c>
      <c r="G56" s="1">
        <v>5532</v>
      </c>
      <c r="H56" s="1">
        <v>2541</v>
      </c>
      <c r="I56" s="4">
        <f>Таблица1[[#This Row],[Доход]]-Таблица1[[#This Row],[Себест-ть]]</f>
        <v>2991</v>
      </c>
    </row>
    <row r="57" spans="1:9" x14ac:dyDescent="0.25">
      <c r="A57" s="3" t="s">
        <v>7</v>
      </c>
      <c r="B57" s="1" t="s">
        <v>26</v>
      </c>
      <c r="C57" s="1" t="s">
        <v>37</v>
      </c>
      <c r="D57" s="2">
        <v>42797</v>
      </c>
      <c r="E57" s="1" t="s">
        <v>13</v>
      </c>
      <c r="F57" s="1">
        <v>766</v>
      </c>
      <c r="G57" s="1">
        <v>15640</v>
      </c>
      <c r="H57" s="1">
        <v>6782</v>
      </c>
      <c r="I57" s="4">
        <f>Таблица1[[#This Row],[Доход]]-Таблица1[[#This Row],[Себест-ть]]</f>
        <v>8858</v>
      </c>
    </row>
    <row r="58" spans="1:9" x14ac:dyDescent="0.25">
      <c r="A58" s="8" t="s">
        <v>19</v>
      </c>
      <c r="B58" s="9" t="s">
        <v>26</v>
      </c>
      <c r="C58" s="1" t="s">
        <v>35</v>
      </c>
      <c r="D58" s="10">
        <v>42798</v>
      </c>
      <c r="E58" s="9" t="s">
        <v>15</v>
      </c>
      <c r="F58" s="9">
        <v>346</v>
      </c>
      <c r="G58" s="9">
        <v>5532</v>
      </c>
      <c r="H58" s="9">
        <v>2541</v>
      </c>
      <c r="I58" s="4">
        <f>Таблица1[[#This Row],[Доход]]-Таблица1[[#This Row],[Себест-ть]]</f>
        <v>2991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7779-5BB3-4506-90EF-080576278FDE}">
  <dimension ref="A2:G18"/>
  <sheetViews>
    <sheetView workbookViewId="0">
      <selection activeCell="G22" sqref="G22"/>
    </sheetView>
  </sheetViews>
  <sheetFormatPr defaultRowHeight="15" x14ac:dyDescent="0.25"/>
  <cols>
    <col min="1" max="1" width="18.140625" bestFit="1" customWidth="1"/>
    <col min="2" max="2" width="8" bestFit="1" customWidth="1"/>
  </cols>
  <sheetData>
    <row r="2" spans="1:7" x14ac:dyDescent="0.25">
      <c r="A2" t="s">
        <v>64</v>
      </c>
    </row>
    <row r="3" spans="1:7" x14ac:dyDescent="0.25">
      <c r="A3" s="11" t="s">
        <v>0</v>
      </c>
      <c r="B3" t="s">
        <v>43</v>
      </c>
    </row>
    <row r="4" spans="1:7" x14ac:dyDescent="0.25">
      <c r="A4" s="11" t="s">
        <v>49</v>
      </c>
      <c r="B4" t="s">
        <v>43</v>
      </c>
      <c r="E4">
        <v>1</v>
      </c>
      <c r="F4" s="15" t="s">
        <v>56</v>
      </c>
      <c r="G4" s="15"/>
    </row>
    <row r="5" spans="1:7" x14ac:dyDescent="0.25">
      <c r="E5">
        <v>2</v>
      </c>
      <c r="F5" s="15" t="s">
        <v>57</v>
      </c>
      <c r="G5" s="15"/>
    </row>
    <row r="6" spans="1:7" x14ac:dyDescent="0.25">
      <c r="A6" s="11" t="s">
        <v>50</v>
      </c>
      <c r="B6" t="s">
        <v>53</v>
      </c>
      <c r="E6">
        <v>3</v>
      </c>
      <c r="F6" s="15" t="s">
        <v>58</v>
      </c>
      <c r="G6" s="15"/>
    </row>
    <row r="7" spans="1:7" x14ac:dyDescent="0.25">
      <c r="A7" s="12" t="s">
        <v>26</v>
      </c>
      <c r="B7" s="14">
        <v>94248</v>
      </c>
      <c r="E7">
        <v>4</v>
      </c>
      <c r="F7" s="15" t="s">
        <v>52</v>
      </c>
      <c r="G7" s="15"/>
    </row>
    <row r="8" spans="1:7" x14ac:dyDescent="0.25">
      <c r="A8" s="12" t="s">
        <v>42</v>
      </c>
      <c r="B8" s="14">
        <v>94248</v>
      </c>
      <c r="E8">
        <v>5</v>
      </c>
      <c r="F8" s="15" t="s">
        <v>62</v>
      </c>
      <c r="G8" s="15"/>
    </row>
    <row r="9" spans="1:7" x14ac:dyDescent="0.25">
      <c r="E9">
        <v>6</v>
      </c>
      <c r="F9" s="15" t="s">
        <v>103</v>
      </c>
      <c r="G9" s="15"/>
    </row>
    <row r="10" spans="1:7" x14ac:dyDescent="0.25">
      <c r="E10">
        <v>7</v>
      </c>
      <c r="F10" s="15" t="s">
        <v>104</v>
      </c>
      <c r="G10" s="15"/>
    </row>
    <row r="11" spans="1:7" x14ac:dyDescent="0.25">
      <c r="E11">
        <v>8</v>
      </c>
      <c r="F11" s="15" t="s">
        <v>55</v>
      </c>
      <c r="G11" s="15"/>
    </row>
    <row r="12" spans="1:7" x14ac:dyDescent="0.25">
      <c r="E12">
        <v>9</v>
      </c>
      <c r="F12" s="15" t="s">
        <v>59</v>
      </c>
      <c r="G12" s="15"/>
    </row>
    <row r="13" spans="1:7" x14ac:dyDescent="0.25">
      <c r="E13">
        <v>10</v>
      </c>
      <c r="F13" s="15" t="s">
        <v>60</v>
      </c>
      <c r="G13" s="15"/>
    </row>
    <row r="14" spans="1:7" x14ac:dyDescent="0.25">
      <c r="E14">
        <v>11</v>
      </c>
      <c r="F14" s="15" t="s">
        <v>61</v>
      </c>
    </row>
    <row r="15" spans="1:7" x14ac:dyDescent="0.25">
      <c r="E15">
        <v>12</v>
      </c>
      <c r="F15" s="15" t="s">
        <v>54</v>
      </c>
    </row>
    <row r="16" spans="1:7" x14ac:dyDescent="0.25">
      <c r="E16">
        <v>13</v>
      </c>
      <c r="F16" s="15" t="s">
        <v>63</v>
      </c>
    </row>
    <row r="17" spans="6:7" x14ac:dyDescent="0.25">
      <c r="F17" s="15" t="s">
        <v>65</v>
      </c>
    </row>
    <row r="18" spans="6:7" x14ac:dyDescent="0.25">
      <c r="G18" s="15" t="s">
        <v>66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2668-00C2-4591-835A-471F73942776}">
  <dimension ref="A2:G18"/>
  <sheetViews>
    <sheetView workbookViewId="0">
      <selection activeCell="F22" sqref="F22"/>
    </sheetView>
  </sheetViews>
  <sheetFormatPr defaultRowHeight="15" x14ac:dyDescent="0.25"/>
  <cols>
    <col min="1" max="1" width="18.140625" bestFit="1" customWidth="1"/>
    <col min="2" max="2" width="8" bestFit="1" customWidth="1"/>
  </cols>
  <sheetData>
    <row r="2" spans="1:7" x14ac:dyDescent="0.25">
      <c r="A2" t="s">
        <v>2</v>
      </c>
    </row>
    <row r="3" spans="1:7" x14ac:dyDescent="0.25">
      <c r="A3" s="11" t="s">
        <v>0</v>
      </c>
      <c r="B3" t="s">
        <v>43</v>
      </c>
    </row>
    <row r="4" spans="1:7" x14ac:dyDescent="0.25">
      <c r="A4" s="11" t="s">
        <v>49</v>
      </c>
      <c r="B4" t="s">
        <v>43</v>
      </c>
      <c r="E4">
        <v>1</v>
      </c>
      <c r="F4" s="15" t="s">
        <v>67</v>
      </c>
      <c r="G4" s="15"/>
    </row>
    <row r="5" spans="1:7" x14ac:dyDescent="0.25">
      <c r="E5">
        <v>2</v>
      </c>
      <c r="F5" s="15" t="s">
        <v>68</v>
      </c>
      <c r="G5" s="15"/>
    </row>
    <row r="6" spans="1:7" x14ac:dyDescent="0.25">
      <c r="A6" s="11" t="s">
        <v>2</v>
      </c>
      <c r="B6" t="s">
        <v>53</v>
      </c>
      <c r="E6">
        <v>3</v>
      </c>
      <c r="F6" s="15" t="s">
        <v>69</v>
      </c>
      <c r="G6" s="15"/>
    </row>
    <row r="7" spans="1:7" x14ac:dyDescent="0.25">
      <c r="A7" s="12" t="s">
        <v>16</v>
      </c>
      <c r="B7" s="14">
        <v>26157</v>
      </c>
      <c r="E7">
        <v>4</v>
      </c>
      <c r="F7" s="15" t="s">
        <v>72</v>
      </c>
      <c r="G7" s="15"/>
    </row>
    <row r="8" spans="1:7" x14ac:dyDescent="0.25">
      <c r="A8" s="12" t="s">
        <v>18</v>
      </c>
      <c r="B8" s="14">
        <v>20770</v>
      </c>
      <c r="F8" s="15"/>
      <c r="G8" s="15"/>
    </row>
    <row r="9" spans="1:7" x14ac:dyDescent="0.25">
      <c r="A9" s="12" t="s">
        <v>15</v>
      </c>
      <c r="B9" s="14">
        <v>20251</v>
      </c>
      <c r="F9" s="15"/>
      <c r="G9" s="15"/>
    </row>
    <row r="10" spans="1:7" x14ac:dyDescent="0.25">
      <c r="A10" s="12" t="s">
        <v>13</v>
      </c>
      <c r="B10" s="14">
        <v>15640</v>
      </c>
      <c r="F10" s="15"/>
      <c r="G10" s="15"/>
    </row>
    <row r="11" spans="1:7" x14ac:dyDescent="0.25">
      <c r="A11" s="12" t="s">
        <v>23</v>
      </c>
      <c r="B11" s="14">
        <v>11430</v>
      </c>
      <c r="F11" s="15"/>
      <c r="G11" s="15"/>
    </row>
    <row r="12" spans="1:7" x14ac:dyDescent="0.25">
      <c r="A12" s="12" t="s">
        <v>42</v>
      </c>
      <c r="B12" s="14">
        <v>94248</v>
      </c>
      <c r="F12" s="15"/>
      <c r="G12" s="15"/>
    </row>
    <row r="13" spans="1:7" x14ac:dyDescent="0.25">
      <c r="F13" s="15"/>
      <c r="G13" s="15"/>
    </row>
    <row r="14" spans="1:7" x14ac:dyDescent="0.25">
      <c r="F14" s="15"/>
    </row>
    <row r="15" spans="1:7" x14ac:dyDescent="0.25">
      <c r="F15" s="15"/>
    </row>
    <row r="16" spans="1:7" x14ac:dyDescent="0.25">
      <c r="F16" s="15"/>
    </row>
    <row r="17" spans="6:7" x14ac:dyDescent="0.25">
      <c r="F17" s="15"/>
    </row>
    <row r="18" spans="6:7" x14ac:dyDescent="0.25">
      <c r="G18" s="1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43F9-264C-4A0A-86A1-2A1BE5EFF98C}">
  <dimension ref="A2:G18"/>
  <sheetViews>
    <sheetView workbookViewId="0">
      <selection activeCell="L21" sqref="L21"/>
    </sheetView>
  </sheetViews>
  <sheetFormatPr defaultRowHeight="15" x14ac:dyDescent="0.25"/>
  <cols>
    <col min="1" max="1" width="18.140625" bestFit="1" customWidth="1"/>
    <col min="2" max="2" width="8" bestFit="1" customWidth="1"/>
  </cols>
  <sheetData>
    <row r="2" spans="1:7" x14ac:dyDescent="0.25">
      <c r="A2" t="s">
        <v>70</v>
      </c>
    </row>
    <row r="3" spans="1:7" x14ac:dyDescent="0.25">
      <c r="A3" s="11" t="s">
        <v>0</v>
      </c>
      <c r="B3" t="s">
        <v>43</v>
      </c>
    </row>
    <row r="4" spans="1:7" x14ac:dyDescent="0.25">
      <c r="A4" s="11" t="s">
        <v>49</v>
      </c>
      <c r="B4" t="s">
        <v>43</v>
      </c>
      <c r="E4">
        <v>1</v>
      </c>
      <c r="F4" s="15" t="s">
        <v>73</v>
      </c>
      <c r="G4" s="15"/>
    </row>
    <row r="5" spans="1:7" x14ac:dyDescent="0.25">
      <c r="E5">
        <v>2</v>
      </c>
      <c r="F5" s="15" t="s">
        <v>68</v>
      </c>
      <c r="G5" s="15"/>
    </row>
    <row r="6" spans="1:7" x14ac:dyDescent="0.25">
      <c r="A6" s="11" t="s">
        <v>71</v>
      </c>
      <c r="B6" t="s">
        <v>53</v>
      </c>
      <c r="E6">
        <v>3</v>
      </c>
      <c r="F6" s="15" t="s">
        <v>74</v>
      </c>
      <c r="G6" s="15"/>
    </row>
    <row r="7" spans="1:7" x14ac:dyDescent="0.25">
      <c r="A7" s="12" t="s">
        <v>37</v>
      </c>
      <c r="B7" s="14">
        <v>94248</v>
      </c>
      <c r="E7">
        <v>4</v>
      </c>
      <c r="F7" s="15" t="s">
        <v>72</v>
      </c>
      <c r="G7" s="15"/>
    </row>
    <row r="8" spans="1:7" x14ac:dyDescent="0.25">
      <c r="A8" s="12" t="s">
        <v>42</v>
      </c>
      <c r="B8" s="14">
        <v>94248</v>
      </c>
      <c r="E8">
        <v>5</v>
      </c>
      <c r="F8" s="15" t="s">
        <v>75</v>
      </c>
      <c r="G8" s="15"/>
    </row>
    <row r="9" spans="1:7" x14ac:dyDescent="0.25">
      <c r="F9" s="15"/>
      <c r="G9" s="15" t="s">
        <v>76</v>
      </c>
    </row>
    <row r="10" spans="1:7" x14ac:dyDescent="0.25">
      <c r="F10" s="15"/>
      <c r="G10" s="15" t="s">
        <v>77</v>
      </c>
    </row>
    <row r="11" spans="1:7" x14ac:dyDescent="0.25">
      <c r="F11" s="15"/>
      <c r="G11" s="15"/>
    </row>
    <row r="12" spans="1:7" x14ac:dyDescent="0.25">
      <c r="F12" s="15"/>
      <c r="G12" s="15"/>
    </row>
    <row r="13" spans="1:7" x14ac:dyDescent="0.25">
      <c r="F13" s="15"/>
      <c r="G13" s="15"/>
    </row>
    <row r="14" spans="1:7" x14ac:dyDescent="0.25">
      <c r="F14" s="15"/>
    </row>
    <row r="15" spans="1:7" x14ac:dyDescent="0.25">
      <c r="F15" s="15"/>
    </row>
    <row r="16" spans="1:7" x14ac:dyDescent="0.25">
      <c r="F16" s="15"/>
    </row>
    <row r="17" spans="6:7" x14ac:dyDescent="0.25">
      <c r="F17" s="15"/>
    </row>
    <row r="18" spans="6:7" x14ac:dyDescent="0.25">
      <c r="G18" s="1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EA85-6EF5-4542-A5A9-74BBF8A4A31C}">
  <dimension ref="A2:G18"/>
  <sheetViews>
    <sheetView workbookViewId="0">
      <selection activeCell="M22" sqref="M22"/>
    </sheetView>
  </sheetViews>
  <sheetFormatPr defaultRowHeight="15" x14ac:dyDescent="0.25"/>
  <cols>
    <col min="1" max="1" width="18.140625" bestFit="1" customWidth="1"/>
    <col min="2" max="2" width="8" bestFit="1" customWidth="1"/>
  </cols>
  <sheetData>
    <row r="2" spans="1:7" x14ac:dyDescent="0.25">
      <c r="A2" t="s">
        <v>78</v>
      </c>
    </row>
    <row r="4" spans="1:7" x14ac:dyDescent="0.25">
      <c r="A4" s="11" t="s">
        <v>49</v>
      </c>
      <c r="B4" t="s">
        <v>43</v>
      </c>
      <c r="E4">
        <v>1</v>
      </c>
      <c r="F4" s="15" t="s">
        <v>73</v>
      </c>
      <c r="G4" s="15"/>
    </row>
    <row r="5" spans="1:7" x14ac:dyDescent="0.25">
      <c r="E5">
        <v>2</v>
      </c>
      <c r="F5" s="15" t="s">
        <v>68</v>
      </c>
      <c r="G5" s="15"/>
    </row>
    <row r="6" spans="1:7" x14ac:dyDescent="0.25">
      <c r="A6" s="11" t="s">
        <v>78</v>
      </c>
      <c r="B6" t="s">
        <v>53</v>
      </c>
      <c r="E6">
        <v>3</v>
      </c>
      <c r="F6" s="15" t="s">
        <v>80</v>
      </c>
      <c r="G6" s="15"/>
    </row>
    <row r="7" spans="1:7" x14ac:dyDescent="0.25">
      <c r="A7" s="12" t="s">
        <v>7</v>
      </c>
      <c r="B7" s="14">
        <v>27070</v>
      </c>
      <c r="E7">
        <v>4</v>
      </c>
      <c r="F7" s="15" t="s">
        <v>79</v>
      </c>
      <c r="G7" s="15"/>
    </row>
    <row r="8" spans="1:7" x14ac:dyDescent="0.25">
      <c r="A8" s="12" t="s">
        <v>19</v>
      </c>
      <c r="B8" s="14">
        <v>40141</v>
      </c>
      <c r="E8">
        <v>5</v>
      </c>
      <c r="F8" s="15" t="s">
        <v>81</v>
      </c>
      <c r="G8" s="15"/>
    </row>
    <row r="9" spans="1:7" x14ac:dyDescent="0.25">
      <c r="A9" s="12" t="s">
        <v>9</v>
      </c>
      <c r="B9" s="14">
        <v>27037</v>
      </c>
      <c r="E9">
        <v>6</v>
      </c>
      <c r="F9" s="15" t="s">
        <v>85</v>
      </c>
      <c r="G9" s="15"/>
    </row>
    <row r="10" spans="1:7" x14ac:dyDescent="0.25">
      <c r="A10" s="12" t="s">
        <v>42</v>
      </c>
      <c r="B10" s="14">
        <v>94248</v>
      </c>
      <c r="F10" s="15"/>
      <c r="G10" s="15" t="s">
        <v>82</v>
      </c>
    </row>
    <row r="11" spans="1:7" x14ac:dyDescent="0.25">
      <c r="F11" s="15"/>
      <c r="G11" s="15" t="s">
        <v>83</v>
      </c>
    </row>
    <row r="12" spans="1:7" x14ac:dyDescent="0.25">
      <c r="F12" s="15"/>
      <c r="G12" s="15" t="s">
        <v>84</v>
      </c>
    </row>
    <row r="13" spans="1:7" x14ac:dyDescent="0.25">
      <c r="E13">
        <v>7</v>
      </c>
      <c r="F13" s="15" t="s">
        <v>86</v>
      </c>
      <c r="G13" s="15"/>
    </row>
    <row r="14" spans="1:7" x14ac:dyDescent="0.25">
      <c r="E14">
        <v>8</v>
      </c>
      <c r="F14" s="15" t="s">
        <v>90</v>
      </c>
    </row>
    <row r="15" spans="1:7" x14ac:dyDescent="0.25">
      <c r="F15" s="15"/>
    </row>
    <row r="16" spans="1:7" x14ac:dyDescent="0.25">
      <c r="F16" s="15"/>
    </row>
    <row r="17" spans="6:7" x14ac:dyDescent="0.25">
      <c r="F17" s="15"/>
    </row>
    <row r="18" spans="6:7" x14ac:dyDescent="0.25">
      <c r="G18" s="15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675A-45C8-4CE6-968C-1CEF652F7C93}">
  <dimension ref="A2:G16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2" width="8" bestFit="1" customWidth="1"/>
  </cols>
  <sheetData>
    <row r="2" spans="1:7" x14ac:dyDescent="0.25">
      <c r="A2" t="s">
        <v>88</v>
      </c>
    </row>
    <row r="4" spans="1:7" x14ac:dyDescent="0.25">
      <c r="E4">
        <v>1</v>
      </c>
      <c r="F4" s="15" t="s">
        <v>87</v>
      </c>
      <c r="G4" s="15"/>
    </row>
    <row r="5" spans="1:7" x14ac:dyDescent="0.25">
      <c r="E5">
        <v>2</v>
      </c>
      <c r="F5" s="15" t="s">
        <v>68</v>
      </c>
      <c r="G5" s="15"/>
    </row>
    <row r="6" spans="1:7" x14ac:dyDescent="0.25">
      <c r="A6" s="11" t="s">
        <v>89</v>
      </c>
      <c r="B6" t="s">
        <v>53</v>
      </c>
      <c r="E6">
        <v>3</v>
      </c>
      <c r="F6" s="15" t="s">
        <v>93</v>
      </c>
      <c r="G6" s="15"/>
    </row>
    <row r="7" spans="1:7" x14ac:dyDescent="0.25">
      <c r="A7" s="12" t="s">
        <v>44</v>
      </c>
      <c r="B7" s="14">
        <v>47288</v>
      </c>
      <c r="E7">
        <v>4</v>
      </c>
      <c r="F7" s="15" t="s">
        <v>91</v>
      </c>
      <c r="G7" s="15"/>
    </row>
    <row r="8" spans="1:7" x14ac:dyDescent="0.25">
      <c r="A8" s="13" t="s">
        <v>46</v>
      </c>
      <c r="B8" s="14">
        <v>27037</v>
      </c>
      <c r="E8">
        <v>5</v>
      </c>
      <c r="F8" s="15" t="s">
        <v>81</v>
      </c>
      <c r="G8" s="15"/>
    </row>
    <row r="9" spans="1:7" x14ac:dyDescent="0.25">
      <c r="A9" s="13" t="s">
        <v>47</v>
      </c>
      <c r="B9" s="14">
        <v>20251</v>
      </c>
      <c r="E9">
        <v>6</v>
      </c>
      <c r="F9" s="15" t="s">
        <v>105</v>
      </c>
      <c r="G9" s="15"/>
    </row>
    <row r="10" spans="1:7" x14ac:dyDescent="0.25">
      <c r="A10" s="12" t="s">
        <v>45</v>
      </c>
      <c r="B10" s="14">
        <v>46960</v>
      </c>
      <c r="E10">
        <v>7</v>
      </c>
      <c r="F10" s="15" t="s">
        <v>86</v>
      </c>
      <c r="G10" s="15"/>
    </row>
    <row r="11" spans="1:7" x14ac:dyDescent="0.25">
      <c r="A11" s="13" t="s">
        <v>46</v>
      </c>
      <c r="B11" s="14">
        <v>19890</v>
      </c>
      <c r="E11">
        <v>8</v>
      </c>
      <c r="F11" s="15" t="s">
        <v>59</v>
      </c>
    </row>
    <row r="12" spans="1:7" x14ac:dyDescent="0.25">
      <c r="A12" s="13" t="s">
        <v>47</v>
      </c>
      <c r="B12" s="14">
        <v>11430</v>
      </c>
      <c r="E12">
        <v>9</v>
      </c>
      <c r="F12" s="15" t="s">
        <v>92</v>
      </c>
    </row>
    <row r="13" spans="1:7" x14ac:dyDescent="0.25">
      <c r="A13" s="13" t="s">
        <v>48</v>
      </c>
      <c r="B13" s="14">
        <v>15640</v>
      </c>
      <c r="E13">
        <v>10</v>
      </c>
      <c r="F13" s="15" t="s">
        <v>94</v>
      </c>
    </row>
    <row r="14" spans="1:7" x14ac:dyDescent="0.25">
      <c r="A14" s="12" t="s">
        <v>42</v>
      </c>
      <c r="B14" s="14">
        <v>94248</v>
      </c>
      <c r="F14" s="15"/>
      <c r="G14" s="15" t="s">
        <v>95</v>
      </c>
    </row>
    <row r="15" spans="1:7" x14ac:dyDescent="0.25">
      <c r="G15" s="15" t="s">
        <v>96</v>
      </c>
    </row>
    <row r="16" spans="1:7" x14ac:dyDescent="0.25">
      <c r="E16">
        <v>11</v>
      </c>
      <c r="F16" s="15" t="s">
        <v>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A942-2C58-4B20-A6E9-DA61178A1D2B}">
  <dimension ref="G2:H6"/>
  <sheetViews>
    <sheetView tabSelected="1" workbookViewId="0">
      <selection activeCell="C4" sqref="C4"/>
    </sheetView>
  </sheetViews>
  <sheetFormatPr defaultRowHeight="15" x14ac:dyDescent="0.25"/>
  <cols>
    <col min="1" max="1" width="33.7109375" style="16" customWidth="1"/>
    <col min="2" max="16384" width="9.140625" style="16"/>
  </cols>
  <sheetData>
    <row r="2" spans="7:8" x14ac:dyDescent="0.25">
      <c r="H2" s="18" t="s">
        <v>98</v>
      </c>
    </row>
    <row r="3" spans="7:8" x14ac:dyDescent="0.25">
      <c r="G3" s="16">
        <v>1</v>
      </c>
      <c r="H3" s="19" t="s">
        <v>99</v>
      </c>
    </row>
    <row r="4" spans="7:8" x14ac:dyDescent="0.25">
      <c r="G4" s="16">
        <v>2</v>
      </c>
      <c r="H4" s="19" t="s">
        <v>100</v>
      </c>
    </row>
    <row r="5" spans="7:8" x14ac:dyDescent="0.25">
      <c r="G5" s="16">
        <v>3</v>
      </c>
      <c r="H5" s="17" t="s">
        <v>101</v>
      </c>
    </row>
    <row r="6" spans="7:8" x14ac:dyDescent="0.25">
      <c r="G6" s="16">
        <v>4</v>
      </c>
      <c r="H6" s="17" t="s">
        <v>102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данные</vt:lpstr>
      <vt:lpstr>категория</vt:lpstr>
      <vt:lpstr>заказчик</vt:lpstr>
      <vt:lpstr>тор _товаров</vt:lpstr>
      <vt:lpstr>регионы</vt:lpstr>
      <vt:lpstr>по месяцам</vt:lpstr>
      <vt:lpstr>дэшборд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2025-09-30T12:09:02Z</dcterms:created>
  <dcterms:modified xsi:type="dcterms:W3CDTF">2025-09-30T14:24:15Z</dcterms:modified>
</cp:coreProperties>
</file>