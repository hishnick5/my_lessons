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8_{046DC903-E774-48F4-A3B0-24A0DB36478E}" xr6:coauthVersionLast="47" xr6:coauthVersionMax="47" xr10:uidLastSave="{00000000-0000-0000-0000-000000000000}"/>
  <bookViews>
    <workbookView xWindow="330" yWindow="780" windowWidth="28470" windowHeight="15000" xr2:uid="{FF3B9EEA-2F11-4F8C-A507-CCA60E38C963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<sst xmlns="http://schemas.openxmlformats.org/spreadsheetml/2006/main" count="131" uniqueCount="91">
  <si>
    <t>Регион</t>
  </si>
  <si>
    <t>Город</t>
  </si>
  <si>
    <t>Объем продаж (руб.)</t>
  </si>
  <si>
    <t>Прибыль</t>
  </si>
  <si>
    <t>Время</t>
  </si>
  <si>
    <t>Широта</t>
  </si>
  <si>
    <t>Долгота</t>
  </si>
  <si>
    <t>Центральный</t>
  </si>
  <si>
    <t>Москва</t>
  </si>
  <si>
    <t>январь</t>
  </si>
  <si>
    <t>55.7558</t>
  </si>
  <si>
    <t>37.6176</t>
  </si>
  <si>
    <t>Санкт-Петербург</t>
  </si>
  <si>
    <t>февраль</t>
  </si>
  <si>
    <t>59.9375</t>
  </si>
  <si>
    <t>30.3086</t>
  </si>
  <si>
    <t>Дальний Восток</t>
  </si>
  <si>
    <t>Владивосток</t>
  </si>
  <si>
    <t>Сибирь</t>
  </si>
  <si>
    <t>Новосибирск</t>
  </si>
  <si>
    <t>55.0201</t>
  </si>
  <si>
    <t>82.9344</t>
  </si>
  <si>
    <t>Екатеринбург</t>
  </si>
  <si>
    <t>56.8380</t>
  </si>
  <si>
    <t>60.6055</t>
  </si>
  <si>
    <t>Казань</t>
  </si>
  <si>
    <t>март</t>
  </si>
  <si>
    <t>55.7961</t>
  </si>
  <si>
    <t>49.1064</t>
  </si>
  <si>
    <t>Нижний Новгород</t>
  </si>
  <si>
    <t>56.3268</t>
  </si>
  <si>
    <t>44.0060</t>
  </si>
  <si>
    <t>Челябинск</t>
  </si>
  <si>
    <t>55.1667</t>
  </si>
  <si>
    <t>61.4000</t>
  </si>
  <si>
    <t>Иркутск</t>
  </si>
  <si>
    <t>Самара</t>
  </si>
  <si>
    <t>53.2001</t>
  </si>
  <si>
    <t>50.1500</t>
  </si>
  <si>
    <t>Омск</t>
  </si>
  <si>
    <t>54.9924</t>
  </si>
  <si>
    <t>73.3686</t>
  </si>
  <si>
    <t>Ростов-на-Дону</t>
  </si>
  <si>
    <t>47.2314</t>
  </si>
  <si>
    <t>39.7233</t>
  </si>
  <si>
    <t>Хабаровск</t>
  </si>
  <si>
    <t>Страны</t>
  </si>
  <si>
    <t>Столица</t>
  </si>
  <si>
    <t>Продажи</t>
  </si>
  <si>
    <t>Реклама</t>
  </si>
  <si>
    <t>Восток</t>
  </si>
  <si>
    <t>Эстония</t>
  </si>
  <si>
    <t>Талин</t>
  </si>
  <si>
    <t>Литва</t>
  </si>
  <si>
    <t>Вильнюс</t>
  </si>
  <si>
    <t>Россия</t>
  </si>
  <si>
    <t>Латвия</t>
  </si>
  <si>
    <t>Рига</t>
  </si>
  <si>
    <t>Беларусь</t>
  </si>
  <si>
    <t>Минск</t>
  </si>
  <si>
    <t>Польша</t>
  </si>
  <si>
    <t>Варшава</t>
  </si>
  <si>
    <t>Румыния</t>
  </si>
  <si>
    <t>Бухарест</t>
  </si>
  <si>
    <t>Болгария</t>
  </si>
  <si>
    <t>София</t>
  </si>
  <si>
    <t>Запад</t>
  </si>
  <si>
    <t>Германия</t>
  </si>
  <si>
    <t>Берлин</t>
  </si>
  <si>
    <t>Франция</t>
  </si>
  <si>
    <t>Париж</t>
  </si>
  <si>
    <t>Чехия</t>
  </si>
  <si>
    <t>Прага</t>
  </si>
  <si>
    <t>Словакия</t>
  </si>
  <si>
    <t>Братислава</t>
  </si>
  <si>
    <t>Австрия</t>
  </si>
  <si>
    <t>Вена</t>
  </si>
  <si>
    <t>Италия</t>
  </si>
  <si>
    <t>Рим</t>
  </si>
  <si>
    <t>Испания</t>
  </si>
  <si>
    <t>Мадрид</t>
  </si>
  <si>
    <t>Юг</t>
  </si>
  <si>
    <t>Египет</t>
  </si>
  <si>
    <t>Каир</t>
  </si>
  <si>
    <t>Алжир</t>
  </si>
  <si>
    <t>ЮАР</t>
  </si>
  <si>
    <t>Абу-Даби</t>
  </si>
  <si>
    <t>Индия</t>
  </si>
  <si>
    <t>Дели</t>
  </si>
  <si>
    <t>Китай</t>
  </si>
  <si>
    <t>Пекин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</si>
</sst>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212529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1" fillId="2" borderId="2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Times New Roman"/>
        <family val="1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A4FAF-CFDC-4A3E-8D4E-1067AC6AEAC3}" name="Таблица2" displayName="Таблица2" ref="A1:E21" totalsRowShown="0">
  <autoFilter ref="A1:E21" xr:uid="{DCFA4FAF-CFDC-4A3E-8D4E-1067AC6AEAC3}"/>
  <tableColumns count="5">
    <tableColumn id="1" xr3:uid="{0FA7463F-E549-4917-A1FE-C46DD19BD19D}" name="Регион"/>
    <tableColumn id="2" xr3:uid="{AC888BFB-32FD-45A1-9923-A3046F23F611}" name="Страны"/>
    <tableColumn id="3" xr3:uid="{06F3A745-1B31-46A8-828C-DA4D75E0B51D}" name="Столица"/>
    <tableColumn id="4" xr3:uid="{C3208968-5A7D-4029-A644-405E15FB6C6E}" name="Продажи"/>
    <tableColumn id="5" xr3:uid="{838E0662-5B13-4CFE-9A30-FC3627551A40}" name="Реклам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A6105-92EB-490F-92F0-3DFD0F5B7170}" name="Таблица1" displayName="Таблица1" ref="A1:G14" totalsRowShown="0" headerRowDxfId="0" headerRowBorderDxfId="2" tableBorderDxfId="3" totalsRowBorderDxfId="1">
  <autoFilter ref="A1:G14" xr:uid="{3E6A6105-92EB-490F-92F0-3DFD0F5B7170}"/>
  <tableColumns count="7">
    <tableColumn id="1" xr3:uid="{6807700F-581C-4785-BC96-ACD7457FF6A7}" name="Регион"/>
    <tableColumn id="2" xr3:uid="{1F8253FB-178F-40EE-9426-97DF8E47E015}" name="Город"/>
    <tableColumn id="3" xr3:uid="{91462961-AA05-4C29-ABCA-E960D9AB1B7B}" name="Объем продаж (руб.)"/>
    <tableColumn id="4" xr3:uid="{24F3FED9-854F-4477-ADEB-3608796800C8}" name="Прибыль">
      <calculatedColumnFormula>C2/10</calculatedColumnFormula>
    </tableColumn>
    <tableColumn id="5" xr3:uid="{59897AF4-FB61-479B-A385-6602CD1A5DB2}" name="Время"/>
    <tableColumn id="6" xr3:uid="{3BE4124F-A975-400A-A8D6-A462ECBC1CB6}" name="Широта"/>
    <tableColumn id="7" xr3:uid="{6C1198DC-688B-4615-84D2-17598AE5C804}" name="Долго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7810-A803-4E25-875D-9EACB35DB2A2}">
  <dimension ref="A1:E21"/>
  <sheetViews>
    <sheetView tabSelected="1" workbookViewId="0">
      <selection activeCell="D28" sqref="D28"/>
    </sheetView>
  </sheetViews>
  <sheetFormatPr defaultRowHeight="15" x14ac:dyDescent="0.25"/>
  <cols>
    <col min="1" max="1" width="9.5703125" customWidth="1"/>
    <col min="2" max="5" width="13.140625" customWidth="1"/>
  </cols>
  <sheetData>
    <row r="1" spans="1:5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</row>
    <row r="2" spans="1:5" x14ac:dyDescent="0.25">
      <c r="A2" t="s">
        <v>50</v>
      </c>
      <c r="B2" t="s">
        <v>51</v>
      </c>
      <c r="C2" t="s">
        <v>52</v>
      </c>
      <c r="D2">
        <v>50</v>
      </c>
      <c r="E2">
        <v>11</v>
      </c>
    </row>
    <row r="3" spans="1:5" x14ac:dyDescent="0.25">
      <c r="A3" t="s">
        <v>50</v>
      </c>
      <c r="B3" t="s">
        <v>53</v>
      </c>
      <c r="C3" t="s">
        <v>54</v>
      </c>
      <c r="D3">
        <v>45</v>
      </c>
      <c r="E3">
        <v>14</v>
      </c>
    </row>
    <row r="4" spans="1:5" x14ac:dyDescent="0.25">
      <c r="A4" t="s">
        <v>50</v>
      </c>
      <c r="B4" t="s">
        <v>55</v>
      </c>
      <c r="C4" t="s">
        <v>8</v>
      </c>
      <c r="D4">
        <v>200</v>
      </c>
      <c r="E4">
        <v>10</v>
      </c>
    </row>
    <row r="5" spans="1:5" x14ac:dyDescent="0.25">
      <c r="A5" t="s">
        <v>50</v>
      </c>
      <c r="B5" t="s">
        <v>56</v>
      </c>
      <c r="C5" t="s">
        <v>57</v>
      </c>
      <c r="D5">
        <v>33</v>
      </c>
      <c r="E5">
        <v>18</v>
      </c>
    </row>
    <row r="6" spans="1:5" x14ac:dyDescent="0.25">
      <c r="A6" t="s">
        <v>50</v>
      </c>
      <c r="B6" t="s">
        <v>58</v>
      </c>
      <c r="C6" t="s">
        <v>59</v>
      </c>
      <c r="D6">
        <v>55</v>
      </c>
      <c r="E6">
        <v>12</v>
      </c>
    </row>
    <row r="7" spans="1:5" x14ac:dyDescent="0.25">
      <c r="A7" t="s">
        <v>50</v>
      </c>
      <c r="B7" t="s">
        <v>60</v>
      </c>
      <c r="C7" t="s">
        <v>61</v>
      </c>
      <c r="D7">
        <v>94</v>
      </c>
      <c r="E7">
        <v>32</v>
      </c>
    </row>
    <row r="8" spans="1:5" x14ac:dyDescent="0.25">
      <c r="A8" t="s">
        <v>50</v>
      </c>
      <c r="B8" t="s">
        <v>62</v>
      </c>
      <c r="C8" t="s">
        <v>63</v>
      </c>
      <c r="D8">
        <v>25</v>
      </c>
      <c r="E8">
        <v>6</v>
      </c>
    </row>
    <row r="9" spans="1:5" x14ac:dyDescent="0.25">
      <c r="A9" t="s">
        <v>50</v>
      </c>
      <c r="B9" t="s">
        <v>64</v>
      </c>
      <c r="C9" t="s">
        <v>65</v>
      </c>
      <c r="D9">
        <v>23</v>
      </c>
      <c r="E9">
        <v>4</v>
      </c>
    </row>
    <row r="10" spans="1:5" x14ac:dyDescent="0.25">
      <c r="A10" t="s">
        <v>66</v>
      </c>
      <c r="B10" t="s">
        <v>67</v>
      </c>
      <c r="C10" t="s">
        <v>68</v>
      </c>
      <c r="D10">
        <v>165</v>
      </c>
      <c r="E10">
        <v>65</v>
      </c>
    </row>
    <row r="11" spans="1:5" x14ac:dyDescent="0.25">
      <c r="A11" t="s">
        <v>66</v>
      </c>
      <c r="B11" t="s">
        <v>69</v>
      </c>
      <c r="C11" t="s">
        <v>70</v>
      </c>
      <c r="D11">
        <v>145</v>
      </c>
      <c r="E11">
        <v>35</v>
      </c>
    </row>
    <row r="12" spans="1:5" x14ac:dyDescent="0.25">
      <c r="A12" t="s">
        <v>66</v>
      </c>
      <c r="B12" t="s">
        <v>71</v>
      </c>
      <c r="C12" t="s">
        <v>72</v>
      </c>
      <c r="D12">
        <v>32</v>
      </c>
      <c r="E12">
        <v>8</v>
      </c>
    </row>
    <row r="13" spans="1:5" x14ac:dyDescent="0.25">
      <c r="A13" t="s">
        <v>50</v>
      </c>
      <c r="B13" t="s">
        <v>73</v>
      </c>
      <c r="C13" t="s">
        <v>74</v>
      </c>
      <c r="D13">
        <v>26</v>
      </c>
      <c r="E13">
        <v>7</v>
      </c>
    </row>
    <row r="14" spans="1:5" x14ac:dyDescent="0.25">
      <c r="A14" t="s">
        <v>66</v>
      </c>
      <c r="B14" t="s">
        <v>75</v>
      </c>
      <c r="C14" t="s">
        <v>76</v>
      </c>
      <c r="D14">
        <v>95</v>
      </c>
      <c r="E14">
        <v>23</v>
      </c>
    </row>
    <row r="15" spans="1:5" x14ac:dyDescent="0.25">
      <c r="A15" t="s">
        <v>66</v>
      </c>
      <c r="B15" t="s">
        <v>77</v>
      </c>
      <c r="C15" t="s">
        <v>78</v>
      </c>
      <c r="D15">
        <v>74</v>
      </c>
      <c r="E15">
        <v>26</v>
      </c>
    </row>
    <row r="16" spans="1:5" x14ac:dyDescent="0.25">
      <c r="A16" t="s">
        <v>66</v>
      </c>
      <c r="B16" t="s">
        <v>79</v>
      </c>
      <c r="C16" t="s">
        <v>80</v>
      </c>
      <c r="D16">
        <v>60</v>
      </c>
      <c r="E16">
        <v>15</v>
      </c>
    </row>
    <row r="17" spans="1:5" x14ac:dyDescent="0.25">
      <c r="A17" t="s">
        <v>81</v>
      </c>
      <c r="B17" t="s">
        <v>82</v>
      </c>
      <c r="C17" t="s">
        <v>83</v>
      </c>
      <c r="D17">
        <v>25</v>
      </c>
      <c r="E17">
        <v>9</v>
      </c>
    </row>
    <row r="18" spans="1:5" x14ac:dyDescent="0.25">
      <c r="A18" t="s">
        <v>81</v>
      </c>
      <c r="B18" t="s">
        <v>84</v>
      </c>
      <c r="C18" t="s">
        <v>84</v>
      </c>
      <c r="D18">
        <v>36</v>
      </c>
      <c r="E18">
        <v>12</v>
      </c>
    </row>
    <row r="19" spans="1:5" x14ac:dyDescent="0.25">
      <c r="A19" t="s">
        <v>81</v>
      </c>
      <c r="B19" t="s">
        <v>85</v>
      </c>
      <c r="C19" t="s">
        <v>86</v>
      </c>
      <c r="D19">
        <v>54</v>
      </c>
      <c r="E19">
        <v>15</v>
      </c>
    </row>
    <row r="20" spans="1:5" x14ac:dyDescent="0.25">
      <c r="A20" t="s">
        <v>81</v>
      </c>
      <c r="B20" t="s">
        <v>87</v>
      </c>
      <c r="C20" t="s">
        <v>88</v>
      </c>
      <c r="D20">
        <v>60</v>
      </c>
      <c r="E20">
        <v>5</v>
      </c>
    </row>
    <row r="21" spans="1:5" x14ac:dyDescent="0.25">
      <c r="A21" t="s">
        <v>81</v>
      </c>
      <c r="B21" t="s">
        <v>89</v>
      </c>
      <c r="C21" t="s">
        <v>90</v>
      </c>
      <c r="D21">
        <v>45</v>
      </c>
      <c r="E2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F7CF-6217-477D-9FAE-7E628998CB53}">
  <dimension ref="A1:G14"/>
  <sheetViews>
    <sheetView workbookViewId="0">
      <selection activeCell="B27" sqref="B27"/>
    </sheetView>
  </sheetViews>
  <sheetFormatPr defaultRowHeight="15" x14ac:dyDescent="0.25"/>
  <cols>
    <col min="1" max="1" width="17.140625" customWidth="1"/>
    <col min="2" max="2" width="17.85546875" customWidth="1"/>
    <col min="3" max="3" width="21.28515625" customWidth="1"/>
    <col min="4" max="4" width="13.7109375" customWidth="1"/>
    <col min="5" max="5" width="9.5703125" customWidth="1"/>
    <col min="6" max="6" width="11.42578125" customWidth="1"/>
    <col min="7" max="7" width="11.140625" customWidth="1"/>
  </cols>
  <sheetData>
    <row r="1" spans="1:7" ht="42.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spans="1:7" x14ac:dyDescent="0.25">
      <c r="A2" t="s">
        <v>7</v>
      </c>
      <c r="B2" t="s">
        <v>8</v>
      </c>
      <c r="C2">
        <v>1500000</v>
      </c>
      <c r="D2">
        <f t="shared" ref="D2:D14" si="0">C2/10</f>
        <v>150000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>
        <v>1200000</v>
      </c>
      <c r="D3">
        <f t="shared" si="0"/>
        <v>120000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>
        <v>500000</v>
      </c>
      <c r="D4">
        <f t="shared" si="0"/>
        <v>50000</v>
      </c>
      <c r="E4" t="s">
        <v>9</v>
      </c>
    </row>
    <row r="5" spans="1:7" x14ac:dyDescent="0.25">
      <c r="A5" t="s">
        <v>18</v>
      </c>
      <c r="B5" t="s">
        <v>19</v>
      </c>
      <c r="C5">
        <v>800000</v>
      </c>
      <c r="D5">
        <f t="shared" si="0"/>
        <v>80000</v>
      </c>
      <c r="E5" t="s">
        <v>13</v>
      </c>
      <c r="F5" t="s">
        <v>20</v>
      </c>
      <c r="G5" t="s">
        <v>21</v>
      </c>
    </row>
    <row r="6" spans="1:7" x14ac:dyDescent="0.25">
      <c r="A6" t="s">
        <v>18</v>
      </c>
      <c r="B6" t="s">
        <v>22</v>
      </c>
      <c r="C6">
        <v>700000</v>
      </c>
      <c r="D6">
        <f t="shared" si="0"/>
        <v>70000</v>
      </c>
      <c r="E6" t="s">
        <v>9</v>
      </c>
      <c r="F6" t="s">
        <v>23</v>
      </c>
      <c r="G6" t="s">
        <v>24</v>
      </c>
    </row>
    <row r="7" spans="1:7" x14ac:dyDescent="0.25">
      <c r="A7" t="s">
        <v>7</v>
      </c>
      <c r="B7" t="s">
        <v>25</v>
      </c>
      <c r="C7">
        <v>600000</v>
      </c>
      <c r="D7">
        <f t="shared" si="0"/>
        <v>60000</v>
      </c>
      <c r="E7" t="s">
        <v>26</v>
      </c>
      <c r="F7" t="s">
        <v>27</v>
      </c>
      <c r="G7" t="s">
        <v>28</v>
      </c>
    </row>
    <row r="8" spans="1:7" x14ac:dyDescent="0.25">
      <c r="A8" t="s">
        <v>7</v>
      </c>
      <c r="B8" t="s">
        <v>29</v>
      </c>
      <c r="C8">
        <v>550000</v>
      </c>
      <c r="D8">
        <f t="shared" si="0"/>
        <v>55000</v>
      </c>
      <c r="E8" t="s">
        <v>9</v>
      </c>
      <c r="F8" t="s">
        <v>30</v>
      </c>
      <c r="G8" t="s">
        <v>31</v>
      </c>
    </row>
    <row r="9" spans="1:7" x14ac:dyDescent="0.25">
      <c r="A9" t="s">
        <v>18</v>
      </c>
      <c r="B9" t="s">
        <v>32</v>
      </c>
      <c r="C9">
        <v>500000</v>
      </c>
      <c r="D9">
        <f t="shared" si="0"/>
        <v>50000</v>
      </c>
      <c r="E9" t="s">
        <v>13</v>
      </c>
      <c r="F9" t="s">
        <v>33</v>
      </c>
      <c r="G9" t="s">
        <v>34</v>
      </c>
    </row>
    <row r="10" spans="1:7" x14ac:dyDescent="0.25">
      <c r="A10" t="s">
        <v>18</v>
      </c>
      <c r="B10" t="s">
        <v>35</v>
      </c>
      <c r="C10">
        <v>450000</v>
      </c>
      <c r="D10">
        <f t="shared" si="0"/>
        <v>45000</v>
      </c>
      <c r="E10" t="s">
        <v>9</v>
      </c>
    </row>
    <row r="11" spans="1:7" x14ac:dyDescent="0.25">
      <c r="A11" t="s">
        <v>7</v>
      </c>
      <c r="B11" t="s">
        <v>36</v>
      </c>
      <c r="C11">
        <v>450000</v>
      </c>
      <c r="D11">
        <f t="shared" si="0"/>
        <v>45000</v>
      </c>
      <c r="E11" t="s">
        <v>13</v>
      </c>
      <c r="F11" t="s">
        <v>37</v>
      </c>
      <c r="G11" t="s">
        <v>38</v>
      </c>
    </row>
    <row r="12" spans="1:7" x14ac:dyDescent="0.25">
      <c r="A12" t="s">
        <v>18</v>
      </c>
      <c r="B12" t="s">
        <v>39</v>
      </c>
      <c r="C12">
        <v>400000</v>
      </c>
      <c r="D12">
        <f t="shared" si="0"/>
        <v>40000</v>
      </c>
      <c r="E12" t="s">
        <v>26</v>
      </c>
      <c r="F12" t="s">
        <v>40</v>
      </c>
      <c r="G12" t="s">
        <v>41</v>
      </c>
    </row>
    <row r="13" spans="1:7" x14ac:dyDescent="0.25">
      <c r="A13" t="s">
        <v>7</v>
      </c>
      <c r="B13" t="s">
        <v>42</v>
      </c>
      <c r="C13">
        <v>350000</v>
      </c>
      <c r="D13">
        <f t="shared" si="0"/>
        <v>35000</v>
      </c>
      <c r="E13" t="s">
        <v>13</v>
      </c>
      <c r="F13" t="s">
        <v>43</v>
      </c>
      <c r="G13" t="s">
        <v>44</v>
      </c>
    </row>
    <row r="14" spans="1:7" x14ac:dyDescent="0.25">
      <c r="A14" t="s">
        <v>16</v>
      </c>
      <c r="B14" t="s">
        <v>45</v>
      </c>
      <c r="C14">
        <v>700000</v>
      </c>
      <c r="D14">
        <f t="shared" si="0"/>
        <v>70000</v>
      </c>
      <c r="E14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2025-09-29T17:51:37Z</dcterms:created>
  <dcterms:modified xsi:type="dcterms:W3CDTF">2025-09-29T17:54:53Z</dcterms:modified>
</cp:coreProperties>
</file>