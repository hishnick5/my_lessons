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6379A878-C057-42A2-820A-0058B86ACA41}" xr6:coauthVersionLast="47" xr6:coauthVersionMax="47" xr10:uidLastSave="{00000000-0000-0000-0000-000000000000}"/>
  <bookViews>
    <workbookView xWindow="0" yWindow="750" windowWidth="28725" windowHeight="15000" activeTab="6" xr2:uid="{F478B870-FB49-4540-AA98-F6FE366E0622}"/>
  </bookViews>
  <sheets>
    <sheet name="таб_дан." sheetId="3" r:id="rId1"/>
    <sheet name="подбор " sheetId="2" r:id="rId2"/>
    <sheet name="диспечер" sheetId="1" r:id="rId3"/>
    <sheet name="Структура сценария" sheetId="6" r:id="rId4"/>
    <sheet name="Сводная таблица по сценарию" sheetId="5" r:id="rId5"/>
    <sheet name="Лист-прогноза" sheetId="7" r:id="rId6"/>
    <sheet name="Л_пр_результат" sheetId="9" r:id="rId7"/>
  </sheets>
  <calcPr calcId="18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5" i="2"/>
  <c r="D31" i="3"/>
  <c r="C5" i="2"/>
  <c r="D5" i="2"/>
  <c r="D2" i="3"/>
  <c r="C14" i="9"/>
  <c r="C15" i="9"/>
  <c r="D17" i="9"/>
  <c r="C16" i="9"/>
  <c r="D15" i="9"/>
  <c r="C17" i="9"/>
  <c r="D16" i="9"/>
  <c r="C18" i="9"/>
  <c r="D14" i="9"/>
  <c r="C19" i="9"/>
  <c r="D18" i="9"/>
  <c r="H3" i="9"/>
  <c r="D19" i="9"/>
  <c r="H2" i="9"/>
  <c r="H4" i="9"/>
  <c r="H5" i="9"/>
  <c r="H6" i="9"/>
  <c r="H8" i="9"/>
  <c r="H7" i="9"/>
</calcChain>
</file>

<file path=xl/sharedStrings.xml><?xml version="1.0" encoding="utf-8"?>
<sst xmlns="http://schemas.openxmlformats.org/spreadsheetml/2006/main" count="159" uniqueCount="147">
  <si>
    <t>Значение</t>
  </si>
  <si>
    <t>Цена за единицу</t>
  </si>
  <si>
    <t>Количество проданных единиц</t>
  </si>
  <si>
    <t>Себестоимость единицы</t>
  </si>
  <si>
    <t>Расходы на рекламу</t>
  </si>
  <si>
    <t>Прибыль</t>
  </si>
  <si>
    <t>условия</t>
  </si>
  <si>
    <t>тарифы</t>
  </si>
  <si>
    <t xml:space="preserve">кол-во </t>
  </si>
  <si>
    <t xml:space="preserve">скидка </t>
  </si>
  <si>
    <t>скидка</t>
  </si>
  <si>
    <t>цель инструмент  "Анализ что если " - таблица данных</t>
  </si>
  <si>
    <t xml:space="preserve">правила изначальные </t>
  </si>
  <si>
    <t xml:space="preserve"> нам нужно создать таблицу  по условию  и получения данных при изменении условия</t>
  </si>
  <si>
    <t>количество часов</t>
  </si>
  <si>
    <t xml:space="preserve">в отдельной таб  условные обозначения </t>
  </si>
  <si>
    <t>"=B2*B3*(1-B4)</t>
  </si>
  <si>
    <t>для заполнения данных во всей таблице</t>
  </si>
  <si>
    <t>Данные-Анализ что если-таблица данных</t>
  </si>
  <si>
    <t>создаем формулу   в углу таблицы на основании условных обозначений</t>
  </si>
  <si>
    <t>автоматически заполнит таблицу данными</t>
  </si>
  <si>
    <t>за минуту</t>
  </si>
  <si>
    <t>Если будем менять данные в условной таблице будет менятся вся таблица</t>
  </si>
  <si>
    <t>рабочий расчет по критериям столбцам и строкам</t>
  </si>
  <si>
    <t>"=B31*B32*(1-B33)</t>
  </si>
  <si>
    <t>чистая таблица</t>
  </si>
  <si>
    <t>создаем вторую таблицу с разным кол-вом часов и разное кол-во скидок</t>
  </si>
  <si>
    <t>кол-во</t>
  </si>
  <si>
    <t>цель инструмент  "Анализ что если " - Подбор параметров</t>
  </si>
  <si>
    <t>Нажмите “ОК”.</t>
  </si>
  <si>
    <t>процент</t>
  </si>
  <si>
    <t xml:space="preserve">цена </t>
  </si>
  <si>
    <t>платеж</t>
  </si>
  <si>
    <t xml:space="preserve">  поможет в вопросе какую переменную надо изменить чтобы получить желаемый результат</t>
  </si>
  <si>
    <t>"=ПЛТ(B2/12;B3;-B4)</t>
  </si>
  <si>
    <t>выделяем ячейку платежей В5</t>
  </si>
  <si>
    <t>хотим определить какую квартиру купить если платить можем в месяц только 45000</t>
  </si>
  <si>
    <r>
      <t xml:space="preserve"> у нас есть: процент платежа, кол-во месяцев,  цена квартиры для платежа используем формулу </t>
    </r>
    <r>
      <rPr>
        <sz val="11"/>
        <color rgb="FF0070C0"/>
        <rFont val="Times New Roman"/>
        <family val="1"/>
        <charset val="204"/>
      </rPr>
      <t>=ПЛТ(B2/12;B3;-B4)</t>
    </r>
  </si>
  <si>
    <t>по умолчанию</t>
  </si>
  <si>
    <t xml:space="preserve">Excel автоматически изменит значение в ячейке </t>
  </si>
  <si>
    <t>но проверяйте % чтоб не было округления</t>
  </si>
  <si>
    <t>бюджета где есть ограничения</t>
  </si>
  <si>
    <t xml:space="preserve">применить : при распределении </t>
  </si>
  <si>
    <t>хотим определить какой % искать в банках ,чтобы купить квартиру за 7 000 000 при платежах 45 000</t>
  </si>
  <si>
    <t>выделяем ячейку платежей D5</t>
  </si>
  <si>
    <t>платеж, 
45000, 
цена</t>
  </si>
  <si>
    <t>платеж
45000,
процент</t>
  </si>
  <si>
    <t>"=(B2*B3)-(B4*B3)-B5</t>
  </si>
  <si>
    <t>Названия строк</t>
  </si>
  <si>
    <t>$B$6</t>
  </si>
  <si>
    <t>Оптимистичный</t>
  </si>
  <si>
    <t>Пессимистичный</t>
  </si>
  <si>
    <t>Реалистичный</t>
  </si>
  <si>
    <t>$B$2:$B$5 на</t>
  </si>
  <si>
    <t>(Все)</t>
  </si>
  <si>
    <t>выделяем диапазон D2:M11 (D31:N40)</t>
  </si>
  <si>
    <t>в окне- подставляя значения по столбца  = из условия B3 (B32)</t>
  </si>
  <si>
    <t>подставля значения по строкам = из условия B4 (B33)</t>
  </si>
  <si>
    <r>
      <t xml:space="preserve">Данные- </t>
    </r>
    <r>
      <rPr>
        <sz val="12"/>
        <color rgb="FF00B050"/>
        <rFont val="Times New Roman"/>
        <family val="1"/>
        <charset val="204"/>
      </rPr>
      <t>В группе </t>
    </r>
    <r>
      <rPr>
        <b/>
        <sz val="12"/>
        <color rgb="FF00B050"/>
        <rFont val="Times New Roman"/>
        <family val="1"/>
        <charset val="204"/>
      </rPr>
      <t>“Прогноз-Анализ «что если» - Подбор параметра…”</t>
    </r>
    <r>
      <rPr>
        <sz val="12"/>
        <color rgb="FF00B050"/>
        <rFont val="Times New Roman"/>
        <family val="1"/>
        <charset val="204"/>
      </rPr>
      <t>.</t>
    </r>
  </si>
  <si>
    <r>
      <t>Установить в ячейке:</t>
    </r>
    <r>
      <rPr>
        <sz val="12"/>
        <color rgb="FF00B050"/>
        <rFont val="Times New Roman"/>
        <family val="1"/>
        <charset val="204"/>
      </rPr>
      <t xml:space="preserve"> платеж С5 = Выберите ячейку, которую нужно изменить </t>
    </r>
  </si>
  <si>
    <r>
      <t>Изменяя ячейку:</t>
    </r>
    <r>
      <rPr>
        <sz val="12"/>
        <color rgb="FF00B050"/>
        <rFont val="Times New Roman"/>
        <family val="1"/>
        <charset val="204"/>
      </rPr>
      <t xml:space="preserve"> цена С4 =Выберите ячейку, значение которой нужно изменить, чтобы достичь цели </t>
    </r>
  </si>
  <si>
    <r>
      <t xml:space="preserve">Данные- </t>
    </r>
    <r>
      <rPr>
        <sz val="12"/>
        <color rgb="FF7030A0"/>
        <rFont val="Times New Roman"/>
        <family val="1"/>
        <charset val="204"/>
      </rPr>
      <t>В группе </t>
    </r>
    <r>
      <rPr>
        <b/>
        <sz val="12"/>
        <color rgb="FF7030A0"/>
        <rFont val="Times New Roman"/>
        <family val="1"/>
        <charset val="204"/>
      </rPr>
      <t>“Прогноз-Анализ «что если» - Подбор параметра…”</t>
    </r>
    <r>
      <rPr>
        <sz val="12"/>
        <color rgb="FF7030A0"/>
        <rFont val="Times New Roman"/>
        <family val="1"/>
        <charset val="204"/>
      </rPr>
      <t>.</t>
    </r>
  </si>
  <si>
    <r>
      <t>Установить в ячейке:</t>
    </r>
    <r>
      <rPr>
        <sz val="12"/>
        <color rgb="FF7030A0"/>
        <rFont val="Times New Roman"/>
        <family val="1"/>
        <charset val="204"/>
      </rPr>
      <t xml:space="preserve"> платеж D5 = Выберите ячейку, которую нужно изменить </t>
    </r>
  </si>
  <si>
    <r>
      <t>Значение:</t>
    </r>
    <r>
      <rPr>
        <sz val="12"/>
        <color rgb="FF7030A0"/>
        <rFont val="Times New Roman"/>
        <family val="1"/>
        <charset val="204"/>
      </rPr>
      <t xml:space="preserve"> -45000 = Введите желаемое значение </t>
    </r>
  </si>
  <si>
    <r>
      <t>Изменяя ячейку:</t>
    </r>
    <r>
      <rPr>
        <sz val="12"/>
        <color rgb="FF7030A0"/>
        <rFont val="Times New Roman"/>
        <family val="1"/>
        <charset val="204"/>
      </rPr>
      <t xml:space="preserve"> цена D2 =Выберите ячейку, значение которой нужно изменить, чтобы достичь цели </t>
    </r>
  </si>
  <si>
    <r>
      <t>Значение:</t>
    </r>
    <r>
      <rPr>
        <sz val="12"/>
        <color rgb="FF00B050"/>
        <rFont val="Times New Roman"/>
        <family val="1"/>
        <charset val="204"/>
      </rPr>
      <t xml:space="preserve"> 45000 = Введите желаемое значение </t>
    </r>
  </si>
  <si>
    <t>Шаг 2: Добавить…:</t>
  </si>
  <si>
    <t>Количество проданных единиц (B3): 150</t>
  </si>
  <si>
    <t>Цена за единицу (B2): 800</t>
  </si>
  <si>
    <t>Шаг 3: Просмотр и сравнение сценариев</t>
  </si>
  <si>
    <r>
      <t>·</t>
    </r>
    <r>
      <rPr>
        <sz val="7"/>
        <color rgb="FF0070C0"/>
        <rFont val="Times New Roman"/>
        <family val="1"/>
        <charset val="204"/>
      </rPr>
      <t xml:space="preserve">         </t>
    </r>
  </si>
  <si>
    <r>
      <t>1. Данные-Анализ «что если» - Диспетчер сценариев…</t>
    </r>
    <r>
      <rPr>
        <sz val="12"/>
        <color rgb="FF0070C0"/>
        <rFont val="Times New Roman"/>
        <family val="1"/>
        <charset val="204"/>
      </rPr>
      <t>.</t>
    </r>
  </si>
  <si>
    <r>
      <t>2. В окне “</t>
    </r>
    <r>
      <rPr>
        <b/>
        <sz val="12"/>
        <color rgb="FF0070C0"/>
        <rFont val="Times New Roman"/>
        <family val="1"/>
        <charset val="204"/>
      </rPr>
      <t>Значения сценария”</t>
    </r>
    <r>
      <rPr>
        <sz val="12"/>
        <color rgb="FF0070C0"/>
        <rFont val="Times New Roman"/>
        <family val="1"/>
        <charset val="204"/>
      </rPr>
      <t xml:space="preserve"> введите значения для ячеек B2, B3, B4 и B5 в оптимистичном сценарии:</t>
    </r>
  </si>
  <si>
    <r>
      <t>·</t>
    </r>
    <r>
      <rPr>
        <sz val="7"/>
        <color rgb="FF0070C0"/>
        <rFont val="Times New Roman"/>
        <family val="1"/>
        <charset val="204"/>
      </rPr>
      <t xml:space="preserve">         </t>
    </r>
    <r>
      <rPr>
        <sz val="12"/>
        <color rgb="FF0070C0"/>
        <rFont val="Times New Roman"/>
        <family val="1"/>
        <charset val="204"/>
      </rPr>
      <t>Цена за единицу (B2): 1200</t>
    </r>
  </si>
  <si>
    <r>
      <t>·</t>
    </r>
    <r>
      <rPr>
        <sz val="7"/>
        <color rgb="FF0070C0"/>
        <rFont val="Times New Roman"/>
        <family val="1"/>
        <charset val="204"/>
      </rPr>
      <t xml:space="preserve">         </t>
    </r>
    <r>
      <rPr>
        <sz val="12"/>
        <color rgb="FF0070C0"/>
        <rFont val="Times New Roman"/>
        <family val="1"/>
        <charset val="204"/>
      </rPr>
      <t>Себестоимость единицы (B4): 500</t>
    </r>
  </si>
  <si>
    <r>
      <t>·</t>
    </r>
    <r>
      <rPr>
        <sz val="7"/>
        <color rgb="FF0070C0"/>
        <rFont val="Times New Roman"/>
        <family val="1"/>
        <charset val="204"/>
      </rPr>
      <t xml:space="preserve">         </t>
    </r>
    <r>
      <rPr>
        <sz val="12"/>
        <color rgb="FF0070C0"/>
        <rFont val="Times New Roman"/>
        <family val="1"/>
        <charset val="204"/>
      </rPr>
      <t>Расходы на рекламу (B5): 8000</t>
    </r>
  </si>
  <si>
    <r>
      <t>·</t>
    </r>
    <r>
      <rPr>
        <sz val="7"/>
        <color rgb="FF0070C0"/>
        <rFont val="Times New Roman"/>
        <family val="1"/>
        <charset val="204"/>
      </rPr>
      <t xml:space="preserve">         </t>
    </r>
    <r>
      <rPr>
        <sz val="12"/>
        <color rgb="FF0070C0"/>
        <rFont val="Times New Roman"/>
        <family val="1"/>
        <charset val="204"/>
      </rPr>
      <t>Добавить</t>
    </r>
  </si>
  <si>
    <r>
      <t>3. Повторите шаги</t>
    </r>
    <r>
      <rPr>
        <sz val="12"/>
        <color rgb="FF0070C0"/>
        <rFont val="Times New Roman"/>
        <family val="1"/>
        <charset val="204"/>
      </rPr>
      <t xml:space="preserve"> 2 и 3 для создания сценариев “</t>
    </r>
    <r>
      <rPr>
        <b/>
        <sz val="12"/>
        <color rgb="FF0070C0"/>
        <rFont val="Times New Roman"/>
        <family val="1"/>
        <charset val="204"/>
      </rPr>
      <t>Пессимистичный” и “Реалистичный</t>
    </r>
    <r>
      <rPr>
        <sz val="12"/>
        <color rgb="FF0070C0"/>
        <rFont val="Times New Roman"/>
        <family val="1"/>
        <charset val="204"/>
      </rPr>
      <t xml:space="preserve">”, 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</si>
  <si>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</si>
  <si>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Количество проданных единиц (B3): 80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</si>
  <si>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Себестоимость единицы (B4): 700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</si>
  <si>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Расходы на рекламу (B5): 12000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</si>
  <si>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 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</si>
  <si>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Цена за единицу (B2): 1000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</si>
  <si>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Количество проданных единиц (B3): 100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</si>
  <si>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Себестоимость единицы (B4): 600</t>
    </r>
  </si>
  <si>
    <r>
      <t>§</t>
    </r>
    <r>
      <rPr>
        <sz val="7"/>
        <color rgb="FF0070C0"/>
        <rFont val="Times New Roman"/>
        <family val="1"/>
        <charset val="204"/>
      </rPr>
      <t xml:space="preserve">  </t>
    </r>
    <r>
      <rPr>
        <sz val="12"/>
        <color rgb="FF0070C0"/>
        <rFont val="Times New Roman"/>
        <family val="1"/>
        <charset val="204"/>
      </rPr>
      <t>Расходы на рекламу (B5): 10000</t>
    </r>
  </si>
  <si>
    <r>
      <t>1. В окне “</t>
    </r>
    <r>
      <rPr>
        <b/>
        <sz val="12"/>
        <color rgb="FF0070C0"/>
        <rFont val="Times New Roman"/>
        <family val="1"/>
        <charset val="204"/>
      </rPr>
      <t>Диспетчер сценариев”</t>
    </r>
    <r>
      <rPr>
        <sz val="12"/>
        <color rgb="FF0070C0"/>
        <rFont val="Times New Roman"/>
        <family val="1"/>
        <charset val="204"/>
      </rPr>
      <t xml:space="preserve"> выберите сценарий, который хотите посмотреть (например, “Оптимистичный”).</t>
    </r>
  </si>
  <si>
    <t>цель инструмент  "Анализ что если " - диспечер сценариев</t>
  </si>
  <si>
    <r>
      <rPr>
        <b/>
        <sz val="12"/>
        <color rgb="FF0070C0"/>
        <rFont val="Times New Roman"/>
        <family val="1"/>
        <charset val="204"/>
      </rPr>
      <t>Изменяемые ячейки:</t>
    </r>
    <r>
      <rPr>
        <sz val="12"/>
        <color rgb="FF0070C0"/>
        <rFont val="Times New Roman"/>
        <family val="1"/>
        <charset val="204"/>
      </rPr>
      <t> </t>
    </r>
    <r>
      <rPr>
        <b/>
        <sz val="12"/>
        <color rgb="FF0070C0"/>
        <rFont val="Times New Roman"/>
        <family val="1"/>
        <charset val="204"/>
      </rPr>
      <t>B2, B3, B4 и B5 = B2:B5 -</t>
    </r>
    <r>
      <rPr>
        <sz val="12"/>
        <color rgb="FF0070C0"/>
        <rFont val="Times New Roman"/>
        <family val="1"/>
        <charset val="204"/>
      </rPr>
      <t xml:space="preserve">ячейки, которые будут меняться </t>
    </r>
  </si>
  <si>
    <r>
      <rPr>
        <sz val="7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Имя сценария:</t>
    </r>
    <r>
      <rPr>
        <sz val="12"/>
        <color rgb="FF0070C0"/>
        <rFont val="Times New Roman"/>
        <family val="1"/>
        <charset val="204"/>
      </rPr>
      <t>  “Оптимистичный”.</t>
    </r>
  </si>
  <si>
    <r>
      <rPr>
        <sz val="7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ОК</t>
    </r>
  </si>
  <si>
    <t>Пессимистичный:</t>
  </si>
  <si>
    <r>
      <rPr>
        <sz val="7"/>
        <color rgb="FF0070C0"/>
        <rFont val="Times New Roman"/>
        <family val="1"/>
        <charset val="204"/>
      </rPr>
      <t xml:space="preserve"> </t>
    </r>
    <r>
      <rPr>
        <sz val="12"/>
        <color rgb="FF0070C0"/>
        <rFont val="Times New Roman"/>
        <family val="1"/>
        <charset val="204"/>
      </rPr>
      <t>После ввода последнего сценария нажмите “ОК”.</t>
    </r>
  </si>
  <si>
    <r>
      <rPr>
        <sz val="7"/>
        <color rgb="FFC00000"/>
        <rFont val="Times New Roman"/>
        <family val="1"/>
        <charset val="204"/>
      </rPr>
      <t xml:space="preserve">  </t>
    </r>
    <r>
      <rPr>
        <b/>
        <sz val="12"/>
        <color rgb="FFC00000"/>
        <rFont val="Times New Roman"/>
        <family val="1"/>
        <charset val="204"/>
      </rPr>
      <t>Реалистичный:</t>
    </r>
  </si>
  <si>
    <t>$B$2</t>
  </si>
  <si>
    <t>$B$3</t>
  </si>
  <si>
    <t>$B$4</t>
  </si>
  <si>
    <t>$B$5</t>
  </si>
  <si>
    <t>опт</t>
  </si>
  <si>
    <t>пес</t>
  </si>
  <si>
    <t>реал</t>
  </si>
  <si>
    <t>Автор: User , 29.09.2025</t>
  </si>
  <si>
    <t>Структура сценария</t>
  </si>
  <si>
    <t>Изменяемые:</t>
  </si>
  <si>
    <t>Текущие значения:</t>
  </si>
  <si>
    <t>Результат:</t>
  </si>
  <si>
    <t xml:space="preserve">Примечания: столбец ''Текущие значения'' представляет значения изменяемых ячеек в </t>
  </si>
  <si>
    <t>момент создания Итогового отчета по Сценарию. Изменяемые ячейки для каждого</t>
  </si>
  <si>
    <t>сценария выделены серым цветом.</t>
  </si>
  <si>
    <t>Дата</t>
  </si>
  <si>
    <t>цель : освоить Лист прогноза</t>
  </si>
  <si>
    <t>Объем
 продаж</t>
  </si>
  <si>
    <t>Мы хотим спрогнозировать объем продаж на следующие 6 месяцев (с января 2024 по июнь 2024).</t>
  </si>
  <si>
    <t>Шаг 1: Подготовка данных</t>
  </si>
  <si>
    <t>1. Убедитесь, что у вас есть как минимум два столбца:</t>
  </si>
  <si>
    <t>2. Данные должны быть организованы в виде таблицы (без пропусков).</t>
  </si>
  <si>
    <t>3. Желательно, чтобы у вас было не менее пяти точек данных (строк) для получения более точного прогноза.</t>
  </si>
  <si>
    <t>Шаг 2: Создание листа прогноза</t>
  </si>
  <si>
    <t>1. Выделите оба столбца с данными (вместе с заголовками).</t>
  </si>
  <si>
    <r>
      <t xml:space="preserve">Шаг 3: Настройка </t>
    </r>
    <r>
      <rPr>
        <sz val="12"/>
        <color rgb="FFC00000"/>
        <rFont val="Times New Roman"/>
        <family val="1"/>
        <charset val="204"/>
      </rPr>
      <t>окно “Создание листа прогноза”.</t>
    </r>
  </si>
  <si>
    <r>
      <t>Столбец значений:</t>
    </r>
    <r>
      <rPr>
        <sz val="12"/>
        <color rgb="FF0070C0"/>
        <rFont val="Times New Roman"/>
        <family val="1"/>
        <charset val="204"/>
      </rPr>
      <t> Значения должны быть числовыми.</t>
    </r>
  </si>
  <si>
    <r>
      <t xml:space="preserve">2. на вкладка </t>
    </r>
    <r>
      <rPr>
        <b/>
        <sz val="12"/>
        <color rgb="FF0070C0"/>
        <rFont val="Times New Roman"/>
        <family val="1"/>
        <charset val="204"/>
      </rPr>
      <t>Данные-</t>
    </r>
    <r>
      <rPr>
        <sz val="12"/>
        <color rgb="FF0070C0"/>
        <rFont val="Times New Roman"/>
        <family val="1"/>
        <charset val="204"/>
      </rPr>
      <t>в группе </t>
    </r>
    <r>
      <rPr>
        <b/>
        <sz val="12"/>
        <color rgb="FF0070C0"/>
        <rFont val="Times New Roman"/>
        <family val="1"/>
        <charset val="204"/>
      </rPr>
      <t>Прогноз-Лист прогноза</t>
    </r>
  </si>
  <si>
    <t>Прогноз(Объем
 продаж)</t>
  </si>
  <si>
    <t>Доверительный интервал(Объем
 продаж)</t>
  </si>
  <si>
    <t>Статистика</t>
  </si>
  <si>
    <t>Alpha</t>
  </si>
  <si>
    <t>Beta</t>
  </si>
  <si>
    <t>Gamma</t>
  </si>
  <si>
    <t>MASE</t>
  </si>
  <si>
    <t>SMAPE</t>
  </si>
  <si>
    <t>MAE</t>
  </si>
  <si>
    <t>RMSE</t>
  </si>
  <si>
    <r>
      <t>2. Диаграмма:</t>
    </r>
    <r>
      <rPr>
        <sz val="12"/>
        <color rgb="FF0070C0"/>
        <rFont val="Times New Roman"/>
        <family val="1"/>
        <charset val="204"/>
      </rPr>
      <t> Выберите тип диаграммы:</t>
    </r>
  </si>
  <si>
    <r>
      <t>Начало прогноза:</t>
    </r>
    <r>
      <rPr>
        <sz val="12"/>
        <color rgb="FF212529"/>
        <rFont val="Times New Roman"/>
        <family val="1"/>
        <charset val="204"/>
      </rPr>
      <t> Укажите дату начала прогноза. По умолчанию используется следующая дата после последней даты в исторических данных.</t>
    </r>
  </si>
  <si>
    <r>
      <t>Доверительные интервалы:</t>
    </r>
    <r>
      <rPr>
        <sz val="12"/>
        <color rgb="FF212529"/>
        <rFont val="Times New Roman"/>
        <family val="1"/>
        <charset val="204"/>
      </rPr>
      <t> Показывать или нет доверительные интервалы на графике. Доверительные интервалы показывают диапазон значений, в который, вероятно, попадет фактическое значение.</t>
    </r>
  </si>
  <si>
    <r>
      <t>Сезонность:</t>
    </r>
    <r>
      <rPr>
        <sz val="12"/>
        <color rgb="FF212529"/>
        <rFont val="Times New Roman"/>
        <family val="1"/>
        <charset val="204"/>
      </rPr>
      <t xml:space="preserve"> автоматически определит сезонность данных. Если вы знаете, что ваши данные имеют определенный период сезонности (например, 12 месяцев), вы можете указать его здесь.</t>
    </r>
  </si>
  <si>
    <r>
      <t>Обработка отсутствующих точек:</t>
    </r>
    <r>
      <rPr>
        <sz val="12"/>
        <color rgb="FF212529"/>
        <rFont val="Times New Roman"/>
        <family val="1"/>
        <charset val="204"/>
      </rPr>
      <t> Выберите, как обрабатывать отсутствующие точки данных (интерполировать или использовать нули).</t>
    </r>
  </si>
  <si>
    <r>
      <t>Агрегирование повторяющихся меток времени:</t>
    </r>
    <r>
      <rPr>
        <sz val="12"/>
        <color rgb="FF212529"/>
        <rFont val="Times New Roman"/>
        <family val="1"/>
        <charset val="204"/>
      </rPr>
      <t xml:space="preserve"> Выберите, как агрегировать данные, если у вас есть несколько значений для одной и той же даты. </t>
    </r>
  </si>
  <si>
    <r>
      <t>1. Предварительный просмотр:</t>
    </r>
    <r>
      <rPr>
        <sz val="12"/>
        <color rgb="FF0070C0"/>
        <rFont val="Times New Roman"/>
        <family val="1"/>
        <charset val="204"/>
      </rPr>
      <t> В верхней части диалогового окна вы увидите график, показывающий исторические данные (синяя линия) и прогноз (оранжевая линия).</t>
    </r>
  </si>
  <si>
    <r>
      <t>Линейчатая диаграмма -</t>
    </r>
    <r>
      <rPr>
        <sz val="12"/>
        <color rgb="FF0070C0"/>
        <rFont val="Times New Roman"/>
        <family val="1"/>
        <charset val="204"/>
      </rPr>
      <t> Подходит для отображения трендов во времени.</t>
    </r>
  </si>
  <si>
    <r>
      <t>Столбчатая диаграмма -</t>
    </r>
    <r>
      <rPr>
        <sz val="12"/>
        <color rgb="FF0070C0"/>
        <rFont val="Times New Roman"/>
        <family val="1"/>
        <charset val="204"/>
      </rPr>
      <t> Может быть полезна для сравнения отдельных значений.</t>
    </r>
  </si>
  <si>
    <r>
      <t>4. Параметры:</t>
    </r>
    <r>
      <rPr>
        <sz val="12"/>
        <color rgb="FF0070C0"/>
        <rFont val="Times New Roman"/>
        <family val="1"/>
        <charset val="204"/>
      </rPr>
      <t>  дополнительные настройки:</t>
    </r>
  </si>
  <si>
    <r>
      <t>3. сравнить все сценарии одновременно,-кнопку </t>
    </r>
    <r>
      <rPr>
        <b/>
        <sz val="12"/>
        <color rgb="FF0070C0"/>
        <rFont val="Times New Roman"/>
        <family val="1"/>
        <charset val="204"/>
      </rPr>
      <t>“Отчет…”</t>
    </r>
    <r>
      <rPr>
        <sz val="12"/>
        <color rgb="FF0070C0"/>
        <rFont val="Times New Roman"/>
        <family val="1"/>
        <charset val="204"/>
      </rPr>
      <t xml:space="preserve"> тип отчета </t>
    </r>
    <r>
      <rPr>
        <b/>
        <sz val="12"/>
        <color rgb="FF0070C0"/>
        <rFont val="Times New Roman"/>
        <family val="1"/>
        <charset val="204"/>
      </rPr>
      <t xml:space="preserve">Сводный отчет по сценариям </t>
    </r>
    <r>
      <rPr>
        <sz val="12"/>
        <color rgb="FF0070C0"/>
        <rFont val="Times New Roman"/>
        <family val="1"/>
        <charset val="204"/>
      </rPr>
      <t xml:space="preserve">или </t>
    </r>
    <r>
      <rPr>
        <b/>
        <sz val="12"/>
        <color rgb="FF0070C0"/>
        <rFont val="Times New Roman"/>
        <family val="1"/>
        <charset val="204"/>
      </rPr>
      <t>Структуру</t>
    </r>
  </si>
  <si>
    <r>
      <t>2. для просмотра -</t>
    </r>
    <r>
      <rPr>
        <b/>
        <sz val="12"/>
        <color rgb="FF0070C0"/>
        <rFont val="Times New Roman"/>
        <family val="1"/>
        <charset val="204"/>
      </rPr>
      <t>“Вывести”</t>
    </r>
    <r>
      <rPr>
        <sz val="12"/>
        <color rgb="FF0070C0"/>
        <rFont val="Times New Roman"/>
        <family val="1"/>
        <charset val="204"/>
      </rPr>
      <t>.Результат = пересчитает прибыль (ячейка B6).</t>
    </r>
  </si>
  <si>
    <r>
      <t>3. Дата окончания прогноза:</t>
    </r>
    <r>
      <rPr>
        <sz val="12"/>
        <color rgb="FF0070C0"/>
        <rFont val="Times New Roman"/>
        <family val="1"/>
        <charset val="204"/>
      </rPr>
      <t xml:space="preserve"> Укажите дату окончания прогноза </t>
    </r>
  </si>
  <si>
    <r>
      <t>Столбец дат:</t>
    </r>
    <r>
      <rPr>
        <sz val="12"/>
        <color rgb="FF0070C0"/>
        <rFont val="Times New Roman"/>
        <family val="1"/>
        <charset val="204"/>
      </rPr>
      <t xml:space="preserve"> Даты должны быть указаны в формате даты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</si>
</sst>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0.0%"/>
    <numFmt numFmtId="165" formatCode="#,##0\ _₽"/>
    <numFmt numFmtId="166" formatCode="#,##0\ _₽;[Red]\-#,##0\ _₽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1"/>
      <color rgb="FF0070C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12"/>
      <color rgb="FF0070C0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sz val="11"/>
      <color rgb="FFC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b/>
      <sz val="11"/>
      <color rgb="FF00B050"/>
      <name val="Times New Roman"/>
      <family val="1"/>
      <charset val="204"/>
    </font>
    <font>
      <b/>
      <sz val="11"/>
      <color rgb="FF7030A0"/>
      <name val="Times New Roman"/>
      <family val="1"/>
      <charset val="204"/>
    </font>
    <font>
      <sz val="11"/>
      <color rgb="FFFF00FF"/>
      <name val="Calibri"/>
      <family val="2"/>
      <charset val="204"/>
      <scheme val="minor"/>
    </font>
    <font>
      <sz val="11"/>
      <color rgb="FF00B05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1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2"/>
      <color rgb="FF0070C0"/>
      <name val="Symbol"/>
      <family val="1"/>
      <charset val="2"/>
    </font>
    <font>
      <sz val="7"/>
      <color rgb="FF0070C0"/>
      <name val="Times New Roman"/>
      <family val="1"/>
      <charset val="204"/>
    </font>
    <font>
      <sz val="10"/>
      <color rgb="FF0070C0"/>
      <name val="Wingdings"/>
      <charset val="2"/>
    </font>
    <font>
      <b/>
      <sz val="12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7"/>
      <color rgb="FFC00000"/>
      <name val="Times New Roman"/>
      <family val="1"/>
      <charset val="204"/>
    </font>
    <font>
      <b/>
      <sz val="12"/>
      <color indexed="9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10"/>
      <color indexed="9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2"/>
      <color rgb="FF212529"/>
      <name val="Times New Roman"/>
      <family val="1"/>
      <charset val="204"/>
    </font>
    <font>
      <b/>
      <sz val="14"/>
      <color theme="1"/>
      <name val="Arial Blac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9" fontId="0" fillId="0" borderId="1" xfId="0" applyNumberFormat="1" applyBorder="1"/>
    <xf numFmtId="10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2" borderId="1" xfId="0" applyFill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2" xfId="0" applyFont="1" applyBorder="1"/>
    <xf numFmtId="0" fontId="5" fillId="0" borderId="0" xfId="0" applyFont="1"/>
    <xf numFmtId="0" fontId="6" fillId="0" borderId="0" xfId="0" applyFont="1"/>
    <xf numFmtId="0" fontId="0" fillId="2" borderId="4" xfId="0" applyFill="1" applyBorder="1"/>
    <xf numFmtId="0" fontId="2" fillId="0" borderId="4" xfId="0" applyFont="1" applyBorder="1"/>
    <xf numFmtId="0" fontId="2" fillId="0" borderId="5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6" xfId="0" applyBorder="1"/>
    <xf numFmtId="0" fontId="0" fillId="0" borderId="3" xfId="0" applyBorder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165" fontId="0" fillId="0" borderId="1" xfId="0" applyNumberFormat="1" applyBorder="1"/>
    <xf numFmtId="8" fontId="4" fillId="0" borderId="0" xfId="0" applyNumberFormat="1" applyFont="1"/>
    <xf numFmtId="0" fontId="0" fillId="0" borderId="0" xfId="0" applyAlignment="1">
      <alignment wrapText="1"/>
    </xf>
    <xf numFmtId="9" fontId="11" fillId="0" borderId="1" xfId="0" applyNumberFormat="1" applyFont="1" applyBorder="1"/>
    <xf numFmtId="0" fontId="11" fillId="0" borderId="1" xfId="0" applyFont="1" applyBorder="1"/>
    <xf numFmtId="165" fontId="11" fillId="0" borderId="1" xfId="0" applyNumberFormat="1" applyFont="1" applyBorder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right" vertical="top"/>
    </xf>
    <xf numFmtId="0" fontId="15" fillId="0" borderId="0" xfId="0" applyFont="1"/>
    <xf numFmtId="0" fontId="16" fillId="0" borderId="0" xfId="0" applyFont="1"/>
    <xf numFmtId="166" fontId="0" fillId="0" borderId="1" xfId="0" applyNumberFormat="1" applyBorder="1"/>
    <xf numFmtId="166" fontId="11" fillId="0" borderId="1" xfId="0" applyNumberFormat="1" applyFont="1" applyBorder="1"/>
    <xf numFmtId="9" fontId="0" fillId="0" borderId="1" xfId="1" applyFont="1" applyBorder="1"/>
    <xf numFmtId="9" fontId="17" fillId="0" borderId="1" xfId="1" applyFont="1" applyBorder="1"/>
    <xf numFmtId="0" fontId="17" fillId="0" borderId="1" xfId="0" applyFont="1" applyBorder="1"/>
    <xf numFmtId="165" fontId="17" fillId="0" borderId="1" xfId="0" applyNumberFormat="1" applyFont="1" applyBorder="1"/>
    <xf numFmtId="166" fontId="17" fillId="0" borderId="1" xfId="0" applyNumberFormat="1" applyFont="1" applyBorder="1"/>
    <xf numFmtId="0" fontId="17" fillId="0" borderId="0" xfId="0" applyFont="1"/>
    <xf numFmtId="0" fontId="17" fillId="0" borderId="0" xfId="0" applyFont="1" applyAlignment="1">
      <alignment wrapText="1"/>
    </xf>
    <xf numFmtId="0" fontId="4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1" fillId="0" borderId="0" xfId="0" applyFont="1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1" fillId="0" borderId="0" xfId="0" applyFont="1"/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24" fillId="0" borderId="0" xfId="0" applyFont="1" applyAlignment="1">
      <alignment horizontal="left" vertical="center" indent="4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4"/>
    </xf>
    <xf numFmtId="0" fontId="26" fillId="0" borderId="0" xfId="0" applyFont="1" applyAlignment="1">
      <alignment horizontal="left" vertical="center" indent="9"/>
    </xf>
    <xf numFmtId="0" fontId="8" fillId="0" borderId="0" xfId="0" applyFont="1" applyAlignment="1">
      <alignment horizontal="left" vertical="center" indent="9"/>
    </xf>
    <xf numFmtId="0" fontId="4" fillId="0" borderId="0" xfId="0" applyFont="1" applyAlignment="1">
      <alignment horizontal="left" vertical="center" indent="1"/>
    </xf>
    <xf numFmtId="0" fontId="27" fillId="0" borderId="0" xfId="0" applyFont="1" applyAlignment="1">
      <alignment horizontal="left" vertical="center" indent="4"/>
    </xf>
    <xf numFmtId="0" fontId="28" fillId="0" borderId="0" xfId="0" applyFont="1" applyAlignment="1">
      <alignment horizontal="left" vertical="center" indent="4"/>
    </xf>
    <xf numFmtId="0" fontId="0" fillId="0" borderId="8" xfId="0" applyBorder="1"/>
    <xf numFmtId="0" fontId="30" fillId="3" borderId="9" xfId="0" applyFont="1" applyFill="1" applyBorder="1" applyAlignment="1">
      <alignment horizontal="left"/>
    </xf>
    <xf numFmtId="0" fontId="30" fillId="3" borderId="7" xfId="0" applyFont="1" applyFill="1" applyBorder="1" applyAlignment="1">
      <alignment horizontal="left"/>
    </xf>
    <xf numFmtId="0" fontId="0" fillId="0" borderId="10" xfId="0" applyBorder="1"/>
    <xf numFmtId="0" fontId="31" fillId="4" borderId="0" xfId="0" applyFont="1" applyFill="1" applyAlignment="1">
      <alignment horizontal="left"/>
    </xf>
    <xf numFmtId="0" fontId="32" fillId="4" borderId="10" xfId="0" applyFont="1" applyFill="1" applyBorder="1" applyAlignment="1">
      <alignment horizontal="left"/>
    </xf>
    <xf numFmtId="0" fontId="31" fillId="4" borderId="8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right"/>
    </xf>
    <xf numFmtId="0" fontId="33" fillId="3" borderId="9" xfId="0" applyFont="1" applyFill="1" applyBorder="1" applyAlignment="1">
      <alignment horizontal="right"/>
    </xf>
    <xf numFmtId="0" fontId="0" fillId="5" borderId="0" xfId="0" applyFill="1"/>
    <xf numFmtId="0" fontId="34" fillId="0" borderId="0" xfId="0" applyFont="1" applyAlignment="1">
      <alignment vertical="top" wrapText="1"/>
    </xf>
    <xf numFmtId="0" fontId="36" fillId="0" borderId="0" xfId="0" applyFont="1"/>
    <xf numFmtId="14" fontId="0" fillId="0" borderId="0" xfId="0" applyNumberForma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5" fillId="0" borderId="0" xfId="0" applyFont="1" applyAlignment="1">
      <alignment horizontal="left" vertical="center" indent="8"/>
    </xf>
    <xf numFmtId="0" fontId="27" fillId="0" borderId="0" xfId="0" applyFont="1" applyAlignment="1">
      <alignment vertical="center"/>
    </xf>
    <xf numFmtId="0" fontId="10" fillId="0" borderId="0" xfId="0" applyFont="1" applyAlignment="1">
      <alignment horizontal="left" vertical="center" indent="8"/>
    </xf>
    <xf numFmtId="4" fontId="0" fillId="0" borderId="0" xfId="0" applyNumberFormat="1"/>
    <xf numFmtId="0" fontId="35" fillId="0" borderId="0" xfId="0" applyFont="1" applyAlignment="1">
      <alignment horizontal="left" vertical="center" indent="2"/>
    </xf>
  </cellXfs>
  <cellStyles count="2">
    <cellStyle name="Обычный" xfId="0" builtinId="0"/>
    <cellStyle name="Процентный" xfId="1" builtinId="5"/>
  </cellStyles>
  <dxfs count="3">
    <dxf>
      <numFmt numFmtId="4" formatCode="#,##0.00"/>
    </dxf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037544220015977E-2"/>
          <c:y val="2.3777141493676927E-2"/>
          <c:w val="0.88983616178412483"/>
          <c:h val="0.59421413232436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Л_пр_результат!$B$1</c:f>
              <c:strCache>
                <c:ptCount val="1"/>
                <c:pt idx="0">
                  <c:v>Объем
 продаж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Л_пр_результат!$B$2:$B$19</c:f>
              <c:numCache>
                <c:formatCode>General</c:formatCode>
                <c:ptCount val="18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140000</c:v>
                </c:pt>
                <c:pt idx="4">
                  <c:v>160000</c:v>
                </c:pt>
                <c:pt idx="5">
                  <c:v>175000</c:v>
                </c:pt>
                <c:pt idx="6">
                  <c:v>190000</c:v>
                </c:pt>
                <c:pt idx="7">
                  <c:v>180000</c:v>
                </c:pt>
                <c:pt idx="8">
                  <c:v>200000</c:v>
                </c:pt>
                <c:pt idx="9">
                  <c:v>210000</c:v>
                </c:pt>
                <c:pt idx="10">
                  <c:v>225000</c:v>
                </c:pt>
                <c:pt idx="11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7-407D-9C04-D0514B72962F}"/>
            </c:ext>
          </c:extLst>
        </c:ser>
        <c:ser>
          <c:idx val="1"/>
          <c:order val="1"/>
          <c:tx>
            <c:strRef>
              <c:f>Л_пр_результат!$C$1</c:f>
              <c:strCache>
                <c:ptCount val="1"/>
                <c:pt idx="0">
                  <c:v>Прогноз(Объем
 продаж)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Л_пр_результат!$D$2:$D$19</c:f>
                <c:numCache>
                  <c:formatCode>General</c:formatCode>
                  <c:ptCount val="18"/>
                  <c:pt idx="12">
                    <c:v>12960.981705478185</c:v>
                  </c:pt>
                  <c:pt idx="13">
                    <c:v>12961.040029764628</c:v>
                  </c:pt>
                  <c:pt idx="14">
                    <c:v>12961.143716736939</c:v>
                  </c:pt>
                  <c:pt idx="15">
                    <c:v>12961.305725970615</c:v>
                  </c:pt>
                  <c:pt idx="16">
                    <c:v>12961.539015709606</c:v>
                  </c:pt>
                  <c:pt idx="17">
                    <c:v>12961.85654221856</c:v>
                  </c:pt>
                </c:numCache>
              </c:numRef>
            </c:plus>
            <c:minus>
              <c:numRef>
                <c:f>Л_пр_результат!$D$2:$D$19</c:f>
                <c:numCache>
                  <c:formatCode>General</c:formatCode>
                  <c:ptCount val="18"/>
                  <c:pt idx="12">
                    <c:v>12960.981705478185</c:v>
                  </c:pt>
                  <c:pt idx="13">
                    <c:v>12961.040029764628</c:v>
                  </c:pt>
                  <c:pt idx="14">
                    <c:v>12961.143716736939</c:v>
                  </c:pt>
                  <c:pt idx="15">
                    <c:v>12961.305725970615</c:v>
                  </c:pt>
                  <c:pt idx="16">
                    <c:v>12961.539015709606</c:v>
                  </c:pt>
                  <c:pt idx="17">
                    <c:v>12961.85654221856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Л_пр_результат!$A$2:$A$19</c:f>
              <c:numCache>
                <c:formatCode>m/d/yyyy</c:formatCode>
                <c:ptCount val="18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</c:numCache>
            </c:numRef>
          </c:cat>
          <c:val>
            <c:numRef>
              <c:f>Л_пр_результат!$C$2:$C$19</c:f>
              <c:numCache>
                <c:formatCode>General</c:formatCode>
                <c:ptCount val="18"/>
                <c:pt idx="12">
                  <c:v>242809.11935593808</c:v>
                </c:pt>
                <c:pt idx="13">
                  <c:v>253045.92894411267</c:v>
                </c:pt>
                <c:pt idx="14">
                  <c:v>263282.73853228724</c:v>
                </c:pt>
                <c:pt idx="15">
                  <c:v>273519.54812046187</c:v>
                </c:pt>
                <c:pt idx="16">
                  <c:v>283756.35770863644</c:v>
                </c:pt>
                <c:pt idx="17">
                  <c:v>293993.16729681101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7-407D-9C04-D0514B72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1118464"/>
        <c:axId val="641164544"/>
      </c:barChart>
      <c:catAx>
        <c:axId val="6411184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164544"/>
        <c:crosses val="autoZero"/>
        <c:auto val="1"/>
        <c:lblAlgn val="ctr"/>
        <c:lblOffset val="100"/>
        <c:noMultiLvlLbl val="0"/>
      </c:catAx>
      <c:valAx>
        <c:axId val="64116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1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18</xdr:row>
      <xdr:rowOff>28575</xdr:rowOff>
    </xdr:from>
    <xdr:to>
      <xdr:col>17</xdr:col>
      <xdr:colOff>161925</xdr:colOff>
      <xdr:row>24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8055D6E-D65B-611A-A95C-F91EAFEDE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3362325"/>
          <a:ext cx="311467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25</xdr:row>
      <xdr:rowOff>180975</xdr:rowOff>
    </xdr:from>
    <xdr:to>
      <xdr:col>7</xdr:col>
      <xdr:colOff>311785</xdr:colOff>
      <xdr:row>43</xdr:row>
      <xdr:rowOff>124460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AF3D385-5F3D-A9A3-0E41-D0C28004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514975"/>
          <a:ext cx="5617210" cy="33724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495300</xdr:colOff>
      <xdr:row>8</xdr:row>
      <xdr:rowOff>104775</xdr:rowOff>
    </xdr:from>
    <xdr:to>
      <xdr:col>22</xdr:col>
      <xdr:colOff>228600</xdr:colOff>
      <xdr:row>15</xdr:row>
      <xdr:rowOff>38100</xdr:rowOff>
    </xdr:to>
    <xdr:pic>
      <xdr:nvPicPr>
        <xdr:cNvPr id="2" name="Рисунок 5">
          <a:extLst>
            <a:ext uri="{FF2B5EF4-FFF2-40B4-BE49-F238E27FC236}">
              <a16:creationId xmlns:a16="http://schemas.microsoft.com/office/drawing/2014/main" id="{752A2E75-1B00-9710-896A-FA5FD77F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95450"/>
          <a:ext cx="21717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381000</xdr:colOff>
      <xdr:row>21</xdr:row>
      <xdr:rowOff>57150</xdr:rowOff>
    </xdr:from>
    <xdr:to>
      <xdr:col>22</xdr:col>
      <xdr:colOff>85725</xdr:colOff>
      <xdr:row>27</xdr:row>
      <xdr:rowOff>161925</xdr:rowOff>
    </xdr:to>
    <xdr:pic>
      <xdr:nvPicPr>
        <xdr:cNvPr id="3" name="Рисунок 6">
          <a:extLst>
            <a:ext uri="{FF2B5EF4-FFF2-40B4-BE49-F238E27FC236}">
              <a16:creationId xmlns:a16="http://schemas.microsoft.com/office/drawing/2014/main" id="{2147B687-657C-3317-B64D-05A448664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50" y="4238625"/>
          <a:ext cx="2143125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</xdr:colOff>
      <xdr:row>0</xdr:row>
      <xdr:rowOff>90487</xdr:rowOff>
    </xdr:from>
    <xdr:to>
      <xdr:col>19</xdr:col>
      <xdr:colOff>80962</xdr:colOff>
      <xdr:row>11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57EA70-96F5-776C-3DB5-9A9C3BF2A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5.087978240743" createdVersion="8" refreshedVersion="8" minRefreshableVersion="3" recordCount="3" xr:uid="{D0FDDE73-B185-4727-92FC-BC8BCFA59ABB}">
  <cacheSource type="scenario"/>
  <cacheFields count="3">
    <cacheField name="$B$2:$B$5" numFmtId="0">
      <sharedItems containsNonDate="0" count="3">
        <s v="Оптимистичный"/>
        <s v="Пессимистичный"/>
        <s v="Реалистичный"/>
      </sharedItems>
    </cacheField>
    <cacheField name="$B$2:$B$5 на" numFmtId="0">
      <sharedItems containsNonDate="0" count="1">
        <s v="User"/>
      </sharedItems>
    </cacheField>
    <cacheField name="рез $B$6" numFmtId="0">
      <sharedItems containsSemiMixedTypes="0" containsNonDate="0" containsString="0" containsNumber="1" containsInteger="1" minValue="-4000" maxValue="97000" count="3">
        <n v="97000"/>
        <n v="-4000"/>
        <n v="3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69CBB-5FEF-4588-B169-47C806C5BB37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fieldListSortAscending="1">
  <location ref="A3:B6" firstHeaderRow="1" firstDataRow="1" firstDataCol="1" rowPageCount="1" colPageCount="1"/>
  <pivotFields count="3">
    <pivotField axis="axisRow" showAll="0" defaultSubtotal="0">
      <items count="3">
        <item x="0"/>
        <item x="1"/>
        <item x="2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$B$6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D8C2EE-D07F-43E1-92D5-9DEB11018313}" name="Таблица3" displayName="Таблица3" ref="A1:D19" totalsRowShown="0" headerRowDxfId="1">
  <autoFilter ref="A1:D19" xr:uid="{8BD8C2EE-D07F-43E1-92D5-9DEB11018313}"/>
  <tableColumns count="4">
    <tableColumn id="1" xr3:uid="{B3104067-B8C2-4826-B54A-707D6325A2D9}" name="Дата" dataDxfId="2"/>
    <tableColumn id="2" xr3:uid="{7B3ACEC4-0AD8-461B-B93D-A611B3CA7C97}" name="Объем_x000a_ продаж"/>
    <tableColumn id="3" xr3:uid="{2CDF84CF-C343-4C62-8B98-A55FB6D53B45}" name="Прогноз(Объем_x000a_ продаж)">
      <calculatedColumnFormula>_xlfn.FORECAST.ETS(A2,$B$2:$B$13,$A$2:$A$13,12,1)</calculatedColumnFormula>
    </tableColumn>
    <tableColumn id="4" xr3:uid="{7D7671B7-951D-4DFE-BD52-DFBE118804FA}" name="Доверительный интервал(Объем_x000a_ продаж)">
      <calculatedColumnFormula>_xlfn.FORECAST.ETS.CONFINT(A2,$B$2:$B$13,$A$2:$A$13,0.95,12,1)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B6D0C9-91CF-42EE-A482-FE03F873D678}" name="Таблица4" displayName="Таблица4" ref="G1:H8" totalsRowShown="0">
  <autoFilter ref="G1:H8" xr:uid="{2DB6D0C9-91CF-42EE-A482-FE03F873D678}"/>
  <tableColumns count="2">
    <tableColumn id="1" xr3:uid="{493FB222-6D83-4CFF-B5AD-650D9C21C785}" name="Статистика"/>
    <tableColumn id="2" xr3:uid="{4901F4EE-3251-4EA2-97DE-4E1A985EED23}" name="Знач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53F9-CB4C-4545-8027-36132BEE1976}">
  <dimension ref="A1:N40"/>
  <sheetViews>
    <sheetView topLeftCell="A10" workbookViewId="0">
      <selection activeCell="R30" sqref="R30"/>
    </sheetView>
  </sheetViews>
  <sheetFormatPr defaultRowHeight="15" x14ac:dyDescent="0.25"/>
  <cols>
    <col min="1" max="1" width="12.42578125" customWidth="1"/>
  </cols>
  <sheetData>
    <row r="1" spans="1:14" x14ac:dyDescent="0.25">
      <c r="A1" s="1" t="s">
        <v>6</v>
      </c>
      <c r="B1" s="1" t="s">
        <v>7</v>
      </c>
      <c r="D1" s="4" t="s">
        <v>10</v>
      </c>
      <c r="E1" s="7" t="s">
        <v>14</v>
      </c>
      <c r="F1" s="5"/>
      <c r="G1" s="5"/>
      <c r="H1" s="5"/>
      <c r="I1" s="5"/>
      <c r="J1" s="5"/>
      <c r="K1" s="5"/>
      <c r="L1" s="5"/>
      <c r="M1" s="5"/>
    </row>
    <row r="2" spans="1:14" x14ac:dyDescent="0.25">
      <c r="A2" s="1" t="s">
        <v>21</v>
      </c>
      <c r="B2" s="1">
        <v>10</v>
      </c>
      <c r="D2" s="8">
        <f>B2*B3*(1-B4)</f>
        <v>19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12"/>
    </row>
    <row r="3" spans="1:14" x14ac:dyDescent="0.25">
      <c r="A3" s="1" t="s">
        <v>8</v>
      </c>
      <c r="B3" s="1">
        <v>2</v>
      </c>
      <c r="D3" s="9">
        <v>0.05</v>
      </c>
      <c r="E3" s="1">
        <f t="dataTable" ref="E3:M11" dt2D="1" dtr="1" r1="B3" r2="B4"/>
        <v>9.5</v>
      </c>
      <c r="F3" s="1">
        <v>19</v>
      </c>
      <c r="G3" s="1">
        <v>28.5</v>
      </c>
      <c r="H3" s="1">
        <v>38</v>
      </c>
      <c r="I3" s="1">
        <v>47.5</v>
      </c>
      <c r="J3" s="1">
        <v>57</v>
      </c>
      <c r="K3" s="1">
        <v>66.5</v>
      </c>
      <c r="L3" s="1">
        <v>76</v>
      </c>
      <c r="M3" s="1">
        <v>85.5</v>
      </c>
    </row>
    <row r="4" spans="1:14" x14ac:dyDescent="0.25">
      <c r="A4" s="1" t="s">
        <v>9</v>
      </c>
      <c r="B4" s="2">
        <v>0.05</v>
      </c>
      <c r="D4" s="9">
        <v>7.4999999999999997E-2</v>
      </c>
      <c r="E4" s="1">
        <v>9.25</v>
      </c>
      <c r="F4" s="1">
        <v>18.5</v>
      </c>
      <c r="G4" s="1">
        <v>27.75</v>
      </c>
      <c r="H4" s="1">
        <v>37</v>
      </c>
      <c r="I4" s="1">
        <v>46.25</v>
      </c>
      <c r="J4" s="1">
        <v>55.5</v>
      </c>
      <c r="K4" s="1">
        <v>64.75</v>
      </c>
      <c r="L4" s="1">
        <v>74</v>
      </c>
      <c r="M4" s="1">
        <v>83.25</v>
      </c>
    </row>
    <row r="5" spans="1:14" x14ac:dyDescent="0.25">
      <c r="D5" s="9">
        <v>0.1</v>
      </c>
      <c r="E5" s="1">
        <v>9</v>
      </c>
      <c r="F5" s="1">
        <v>18</v>
      </c>
      <c r="G5" s="1">
        <v>27</v>
      </c>
      <c r="H5" s="1">
        <v>36</v>
      </c>
      <c r="I5" s="1">
        <v>45</v>
      </c>
      <c r="J5" s="1">
        <v>54</v>
      </c>
      <c r="K5" s="1">
        <v>63</v>
      </c>
      <c r="L5" s="1">
        <v>72</v>
      </c>
      <c r="M5" s="1">
        <v>81</v>
      </c>
    </row>
    <row r="6" spans="1:14" x14ac:dyDescent="0.25">
      <c r="A6" s="6" t="s">
        <v>12</v>
      </c>
      <c r="D6" s="9">
        <v>0.125</v>
      </c>
      <c r="E6" s="1">
        <v>8.75</v>
      </c>
      <c r="F6" s="1">
        <v>17.5</v>
      </c>
      <c r="G6" s="1">
        <v>26.25</v>
      </c>
      <c r="H6" s="1">
        <v>35</v>
      </c>
      <c r="I6" s="1">
        <v>43.75</v>
      </c>
      <c r="J6" s="1">
        <v>52.5</v>
      </c>
      <c r="K6" s="1">
        <v>61.25</v>
      </c>
      <c r="L6" s="1">
        <v>70</v>
      </c>
      <c r="M6" s="1">
        <v>78.75</v>
      </c>
    </row>
    <row r="7" spans="1:14" x14ac:dyDescent="0.25">
      <c r="D7" s="9">
        <v>0.15</v>
      </c>
      <c r="E7" s="1">
        <v>8.5</v>
      </c>
      <c r="F7" s="1">
        <v>17</v>
      </c>
      <c r="G7" s="1">
        <v>25.5</v>
      </c>
      <c r="H7" s="1">
        <v>34</v>
      </c>
      <c r="I7" s="1">
        <v>42.5</v>
      </c>
      <c r="J7" s="1">
        <v>51</v>
      </c>
      <c r="K7" s="1">
        <v>59.5</v>
      </c>
      <c r="L7" s="1">
        <v>68</v>
      </c>
      <c r="M7" s="1">
        <v>76.5</v>
      </c>
    </row>
    <row r="8" spans="1:14" x14ac:dyDescent="0.25">
      <c r="D8" s="9">
        <v>0.17499999999999999</v>
      </c>
      <c r="E8" s="1">
        <v>8.25</v>
      </c>
      <c r="F8" s="1">
        <v>16.5</v>
      </c>
      <c r="G8" s="1">
        <v>24.75</v>
      </c>
      <c r="H8" s="1">
        <v>33</v>
      </c>
      <c r="I8" s="1">
        <v>41.25</v>
      </c>
      <c r="J8" s="1">
        <v>49.5</v>
      </c>
      <c r="K8" s="1">
        <v>57.75</v>
      </c>
      <c r="L8" s="1">
        <v>66</v>
      </c>
      <c r="M8" s="1">
        <v>74.25</v>
      </c>
    </row>
    <row r="9" spans="1:14" x14ac:dyDescent="0.25">
      <c r="D9" s="9">
        <v>0.2</v>
      </c>
      <c r="E9" s="1">
        <v>8</v>
      </c>
      <c r="F9" s="1">
        <v>16</v>
      </c>
      <c r="G9" s="1">
        <v>24</v>
      </c>
      <c r="H9" s="1">
        <v>32</v>
      </c>
      <c r="I9" s="1">
        <v>40</v>
      </c>
      <c r="J9" s="1">
        <v>48</v>
      </c>
      <c r="K9" s="1">
        <v>56</v>
      </c>
      <c r="L9" s="1">
        <v>64</v>
      </c>
      <c r="M9" s="1">
        <v>72</v>
      </c>
    </row>
    <row r="10" spans="1:14" x14ac:dyDescent="0.25">
      <c r="D10" s="9">
        <v>0.22500000000000001</v>
      </c>
      <c r="E10" s="1">
        <v>7.75</v>
      </c>
      <c r="F10" s="1">
        <v>15.5</v>
      </c>
      <c r="G10" s="1">
        <v>23.25</v>
      </c>
      <c r="H10" s="1">
        <v>31</v>
      </c>
      <c r="I10" s="1">
        <v>38.75</v>
      </c>
      <c r="J10" s="1">
        <v>46.5</v>
      </c>
      <c r="K10" s="1">
        <v>54.25</v>
      </c>
      <c r="L10" s="1">
        <v>62</v>
      </c>
      <c r="M10" s="1">
        <v>69.75</v>
      </c>
    </row>
    <row r="11" spans="1:14" x14ac:dyDescent="0.25">
      <c r="D11" s="9">
        <v>0.25</v>
      </c>
      <c r="E11" s="1">
        <v>7.5</v>
      </c>
      <c r="F11" s="1">
        <v>15</v>
      </c>
      <c r="G11" s="1">
        <v>22.5</v>
      </c>
      <c r="H11" s="1">
        <v>30</v>
      </c>
      <c r="I11" s="1">
        <v>37.5</v>
      </c>
      <c r="J11" s="1">
        <v>45</v>
      </c>
      <c r="K11" s="1">
        <v>52.5</v>
      </c>
      <c r="L11" s="1">
        <v>60</v>
      </c>
      <c r="M11" s="1">
        <v>67.5</v>
      </c>
    </row>
    <row r="12" spans="1:14" x14ac:dyDescent="0.25">
      <c r="D12" s="3"/>
      <c r="E12" s="14" t="s">
        <v>23</v>
      </c>
    </row>
    <row r="14" spans="1:14" ht="22.5" x14ac:dyDescent="0.45">
      <c r="F14" s="10" t="s">
        <v>11</v>
      </c>
    </row>
    <row r="15" spans="1:14" x14ac:dyDescent="0.25">
      <c r="D15" t="s">
        <v>13</v>
      </c>
    </row>
    <row r="16" spans="1:14" x14ac:dyDescent="0.25">
      <c r="D16">
        <v>1</v>
      </c>
      <c r="E16" s="11" t="s">
        <v>15</v>
      </c>
      <c r="F16" s="11"/>
    </row>
    <row r="17" spans="1:14" ht="15.75" x14ac:dyDescent="0.25">
      <c r="D17">
        <v>2</v>
      </c>
      <c r="E17" s="22" t="s">
        <v>26</v>
      </c>
      <c r="F17" s="11"/>
    </row>
    <row r="18" spans="1:14" x14ac:dyDescent="0.25">
      <c r="D18">
        <v>3</v>
      </c>
      <c r="E18" s="11" t="s">
        <v>19</v>
      </c>
      <c r="F18" s="11"/>
    </row>
    <row r="19" spans="1:14" x14ac:dyDescent="0.25">
      <c r="E19" s="11"/>
      <c r="F19" s="11" t="s">
        <v>16</v>
      </c>
    </row>
    <row r="20" spans="1:14" x14ac:dyDescent="0.25">
      <c r="E20" t="s">
        <v>17</v>
      </c>
    </row>
    <row r="21" spans="1:14" x14ac:dyDescent="0.25">
      <c r="D21">
        <v>4</v>
      </c>
      <c r="E21" s="11" t="s">
        <v>55</v>
      </c>
    </row>
    <row r="22" spans="1:14" x14ac:dyDescent="0.25">
      <c r="D22">
        <v>5</v>
      </c>
      <c r="E22" s="11" t="s">
        <v>18</v>
      </c>
    </row>
    <row r="23" spans="1:14" x14ac:dyDescent="0.25">
      <c r="D23">
        <v>6</v>
      </c>
      <c r="E23" s="11" t="s">
        <v>56</v>
      </c>
    </row>
    <row r="24" spans="1:14" x14ac:dyDescent="0.25">
      <c r="D24">
        <v>7</v>
      </c>
      <c r="F24" s="11" t="s">
        <v>57</v>
      </c>
    </row>
    <row r="25" spans="1:14" x14ac:dyDescent="0.25">
      <c r="D25">
        <v>8</v>
      </c>
      <c r="E25" s="11" t="s">
        <v>20</v>
      </c>
    </row>
    <row r="26" spans="1:14" x14ac:dyDescent="0.25">
      <c r="D26">
        <v>9</v>
      </c>
      <c r="E26" s="11" t="s">
        <v>22</v>
      </c>
    </row>
    <row r="28" spans="1:14" x14ac:dyDescent="0.25">
      <c r="E28" s="11" t="s">
        <v>24</v>
      </c>
    </row>
    <row r="29" spans="1:14" ht="15.75" thickBot="1" x14ac:dyDescent="0.3">
      <c r="G29" s="21" t="s">
        <v>25</v>
      </c>
    </row>
    <row r="30" spans="1:14" ht="15.75" thickBot="1" x14ac:dyDescent="0.3">
      <c r="A30" s="1" t="s">
        <v>6</v>
      </c>
      <c r="B30" s="1" t="s">
        <v>7</v>
      </c>
      <c r="D30" s="20" t="s">
        <v>10</v>
      </c>
      <c r="E30" s="17" t="s">
        <v>14</v>
      </c>
      <c r="F30" s="18"/>
      <c r="G30" s="18"/>
      <c r="H30" s="18"/>
      <c r="I30" s="18"/>
      <c r="J30" s="18"/>
      <c r="K30" s="18"/>
      <c r="L30" s="18"/>
      <c r="M30" s="18"/>
      <c r="N30" s="19"/>
    </row>
    <row r="31" spans="1:14" x14ac:dyDescent="0.25">
      <c r="A31" s="1" t="s">
        <v>21</v>
      </c>
      <c r="B31" s="1">
        <v>200</v>
      </c>
      <c r="D31" s="15">
        <f>B31*B32*(1-B33)</f>
        <v>380</v>
      </c>
      <c r="E31" s="16">
        <v>1</v>
      </c>
      <c r="F31" s="16">
        <v>2</v>
      </c>
      <c r="G31" s="16">
        <v>3</v>
      </c>
      <c r="H31" s="16">
        <v>4</v>
      </c>
      <c r="I31" s="16">
        <v>5</v>
      </c>
      <c r="J31" s="16">
        <v>6</v>
      </c>
      <c r="K31" s="16">
        <v>7</v>
      </c>
      <c r="L31" s="16">
        <v>8</v>
      </c>
      <c r="M31" s="16">
        <v>9</v>
      </c>
      <c r="N31" s="16">
        <v>10</v>
      </c>
    </row>
    <row r="32" spans="1:14" x14ac:dyDescent="0.25">
      <c r="A32" s="1" t="s">
        <v>8</v>
      </c>
      <c r="B32" s="1">
        <v>2</v>
      </c>
      <c r="D32" s="9">
        <v>0.05</v>
      </c>
      <c r="E32" s="1">
        <f t="dataTable" ref="E32:N40" dt2D="1" dtr="1" r1="B32" r2="B33"/>
        <v>190</v>
      </c>
      <c r="F32" s="1">
        <v>380</v>
      </c>
      <c r="G32" s="1">
        <v>570</v>
      </c>
      <c r="H32" s="1">
        <v>760</v>
      </c>
      <c r="I32" s="1">
        <v>950</v>
      </c>
      <c r="J32" s="1">
        <v>1140</v>
      </c>
      <c r="K32" s="1">
        <v>1330</v>
      </c>
      <c r="L32" s="1">
        <v>1520</v>
      </c>
      <c r="M32" s="1">
        <v>1710</v>
      </c>
      <c r="N32" s="1">
        <v>1900</v>
      </c>
    </row>
    <row r="33" spans="1:14" x14ac:dyDescent="0.25">
      <c r="A33" s="1" t="s">
        <v>9</v>
      </c>
      <c r="B33" s="2">
        <v>0.05</v>
      </c>
      <c r="D33" s="9">
        <v>7.4999999999999997E-2</v>
      </c>
      <c r="E33" s="1">
        <v>185</v>
      </c>
      <c r="F33" s="1">
        <v>370</v>
      </c>
      <c r="G33" s="1">
        <v>555</v>
      </c>
      <c r="H33" s="1">
        <v>740</v>
      </c>
      <c r="I33" s="1">
        <v>925</v>
      </c>
      <c r="J33" s="1">
        <v>1110</v>
      </c>
      <c r="K33" s="1">
        <v>1295</v>
      </c>
      <c r="L33" s="1">
        <v>1480</v>
      </c>
      <c r="M33" s="1">
        <v>1665</v>
      </c>
      <c r="N33" s="1">
        <v>1850</v>
      </c>
    </row>
    <row r="34" spans="1:14" x14ac:dyDescent="0.25">
      <c r="D34" s="9">
        <v>0.1</v>
      </c>
      <c r="E34" s="1">
        <v>180</v>
      </c>
      <c r="F34" s="1">
        <v>360</v>
      </c>
      <c r="G34" s="1">
        <v>540</v>
      </c>
      <c r="H34" s="1">
        <v>720</v>
      </c>
      <c r="I34" s="1">
        <v>900</v>
      </c>
      <c r="J34" s="1">
        <v>1080</v>
      </c>
      <c r="K34" s="1">
        <v>1260</v>
      </c>
      <c r="L34" s="1">
        <v>1440</v>
      </c>
      <c r="M34" s="1">
        <v>1620</v>
      </c>
      <c r="N34" s="1">
        <v>1800</v>
      </c>
    </row>
    <row r="35" spans="1:14" x14ac:dyDescent="0.25">
      <c r="D35" s="9">
        <v>0.125</v>
      </c>
      <c r="E35" s="1">
        <v>175</v>
      </c>
      <c r="F35" s="1">
        <v>350</v>
      </c>
      <c r="G35" s="1">
        <v>525</v>
      </c>
      <c r="H35" s="1">
        <v>700</v>
      </c>
      <c r="I35" s="1">
        <v>875</v>
      </c>
      <c r="J35" s="1">
        <v>1050</v>
      </c>
      <c r="K35" s="1">
        <v>1225</v>
      </c>
      <c r="L35" s="1">
        <v>1400</v>
      </c>
      <c r="M35" s="1">
        <v>1575</v>
      </c>
      <c r="N35" s="1">
        <v>1750</v>
      </c>
    </row>
    <row r="36" spans="1:14" x14ac:dyDescent="0.25">
      <c r="D36" s="9">
        <v>0.15</v>
      </c>
      <c r="E36" s="1">
        <v>170</v>
      </c>
      <c r="F36" s="1">
        <v>340</v>
      </c>
      <c r="G36" s="1">
        <v>510</v>
      </c>
      <c r="H36" s="1">
        <v>680</v>
      </c>
      <c r="I36" s="1">
        <v>850</v>
      </c>
      <c r="J36" s="1">
        <v>1020</v>
      </c>
      <c r="K36" s="1">
        <v>1190</v>
      </c>
      <c r="L36" s="1">
        <v>1360</v>
      </c>
      <c r="M36" s="1">
        <v>1530</v>
      </c>
      <c r="N36" s="1">
        <v>1700</v>
      </c>
    </row>
    <row r="37" spans="1:14" x14ac:dyDescent="0.25">
      <c r="D37" s="9">
        <v>0.17499999999999999</v>
      </c>
      <c r="E37" s="1">
        <v>165</v>
      </c>
      <c r="F37" s="1">
        <v>330</v>
      </c>
      <c r="G37" s="1">
        <v>495</v>
      </c>
      <c r="H37" s="1">
        <v>660</v>
      </c>
      <c r="I37" s="1">
        <v>825</v>
      </c>
      <c r="J37" s="1">
        <v>990</v>
      </c>
      <c r="K37" s="1">
        <v>1155</v>
      </c>
      <c r="L37" s="1">
        <v>1320</v>
      </c>
      <c r="M37" s="1">
        <v>1485</v>
      </c>
      <c r="N37" s="1">
        <v>1650</v>
      </c>
    </row>
    <row r="38" spans="1:14" x14ac:dyDescent="0.25">
      <c r="D38" s="9">
        <v>0.2</v>
      </c>
      <c r="E38" s="1">
        <v>160</v>
      </c>
      <c r="F38" s="1">
        <v>320</v>
      </c>
      <c r="G38" s="1">
        <v>480</v>
      </c>
      <c r="H38" s="1">
        <v>640</v>
      </c>
      <c r="I38" s="1">
        <v>800</v>
      </c>
      <c r="J38" s="1">
        <v>960</v>
      </c>
      <c r="K38" s="1">
        <v>1120</v>
      </c>
      <c r="L38" s="1">
        <v>1280</v>
      </c>
      <c r="M38" s="1">
        <v>1440</v>
      </c>
      <c r="N38" s="1">
        <v>1600</v>
      </c>
    </row>
    <row r="39" spans="1:14" x14ac:dyDescent="0.25">
      <c r="D39" s="9">
        <v>0.22500000000000001</v>
      </c>
      <c r="E39" s="1">
        <v>155</v>
      </c>
      <c r="F39" s="1">
        <v>310</v>
      </c>
      <c r="G39" s="1">
        <v>465</v>
      </c>
      <c r="H39" s="1">
        <v>620</v>
      </c>
      <c r="I39" s="1">
        <v>775</v>
      </c>
      <c r="J39" s="1">
        <v>930</v>
      </c>
      <c r="K39" s="1">
        <v>1085</v>
      </c>
      <c r="L39" s="1">
        <v>1240</v>
      </c>
      <c r="M39" s="1">
        <v>1395</v>
      </c>
      <c r="N39" s="1">
        <v>1550</v>
      </c>
    </row>
    <row r="40" spans="1:14" x14ac:dyDescent="0.25">
      <c r="D40" s="9">
        <v>0.25</v>
      </c>
      <c r="E40" s="1">
        <v>150</v>
      </c>
      <c r="F40" s="1">
        <v>300</v>
      </c>
      <c r="G40" s="1">
        <v>450</v>
      </c>
      <c r="H40" s="1">
        <v>600</v>
      </c>
      <c r="I40" s="1">
        <v>750</v>
      </c>
      <c r="J40" s="1">
        <v>900</v>
      </c>
      <c r="K40" s="1">
        <v>1050</v>
      </c>
      <c r="L40" s="1">
        <v>1200</v>
      </c>
      <c r="M40" s="1">
        <v>1350</v>
      </c>
      <c r="N40" s="1">
        <v>1500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797F-2F1E-4427-B410-CED1A66C48B6}">
  <dimension ref="A1:H21"/>
  <sheetViews>
    <sheetView workbookViewId="0">
      <selection activeCell="F1" sqref="F1"/>
    </sheetView>
  </sheetViews>
  <sheetFormatPr defaultRowHeight="15" x14ac:dyDescent="0.25"/>
  <cols>
    <col min="1" max="1" width="10.42578125" customWidth="1"/>
    <col min="2" max="2" width="19.85546875" customWidth="1"/>
    <col min="3" max="3" width="11.5703125" customWidth="1"/>
    <col min="4" max="4" width="10.7109375" customWidth="1"/>
  </cols>
  <sheetData>
    <row r="1" spans="1:8" ht="22.5" x14ac:dyDescent="0.45">
      <c r="F1" s="10" t="s">
        <v>28</v>
      </c>
    </row>
    <row r="2" spans="1:8" x14ac:dyDescent="0.25">
      <c r="A2" s="6" t="s">
        <v>30</v>
      </c>
      <c r="B2" s="38">
        <v>0.08</v>
      </c>
      <c r="C2" s="27">
        <v>0.08</v>
      </c>
      <c r="D2" s="39">
        <v>6.6634762514317242E-2</v>
      </c>
    </row>
    <row r="3" spans="1:8" x14ac:dyDescent="0.25">
      <c r="A3" s="6" t="s">
        <v>27</v>
      </c>
      <c r="B3" s="1">
        <v>360</v>
      </c>
      <c r="C3" s="28">
        <v>360</v>
      </c>
      <c r="D3" s="40">
        <v>360</v>
      </c>
      <c r="F3" s="31" t="s">
        <v>33</v>
      </c>
      <c r="G3" s="32"/>
    </row>
    <row r="4" spans="1:8" x14ac:dyDescent="0.25">
      <c r="A4" s="6" t="s">
        <v>31</v>
      </c>
      <c r="B4" s="24">
        <v>7000000</v>
      </c>
      <c r="C4" s="29">
        <v>6132757.2360283462</v>
      </c>
      <c r="D4" s="41">
        <v>7000000</v>
      </c>
      <c r="F4" s="32" t="s">
        <v>37</v>
      </c>
      <c r="G4" s="32"/>
    </row>
    <row r="5" spans="1:8" x14ac:dyDescent="0.25">
      <c r="A5" s="6" t="s">
        <v>32</v>
      </c>
      <c r="B5" s="36">
        <f>PMT(B2/12,B3,-B4)</f>
        <v>51363.520171556331</v>
      </c>
      <c r="C5" s="37">
        <f>PMT(C2/12,C3,-C4)</f>
        <v>45000</v>
      </c>
      <c r="D5" s="42">
        <f>PMT(D2/12,D3,-D4)</f>
        <v>45000.000113299284</v>
      </c>
      <c r="F5" s="34" t="s">
        <v>36</v>
      </c>
      <c r="G5" s="32"/>
    </row>
    <row r="6" spans="1:8" x14ac:dyDescent="0.25">
      <c r="B6" s="25" t="s">
        <v>34</v>
      </c>
      <c r="D6" s="43"/>
      <c r="F6" s="33">
        <v>1</v>
      </c>
      <c r="G6" s="48" t="s">
        <v>35</v>
      </c>
      <c r="H6" s="49"/>
    </row>
    <row r="7" spans="1:8" ht="45" x14ac:dyDescent="0.25">
      <c r="B7" t="s">
        <v>38</v>
      </c>
      <c r="C7" s="30" t="s">
        <v>45</v>
      </c>
      <c r="D7" s="44" t="s">
        <v>46</v>
      </c>
      <c r="F7" s="33">
        <v>2</v>
      </c>
      <c r="G7" s="50" t="s">
        <v>58</v>
      </c>
      <c r="H7" s="49"/>
    </row>
    <row r="8" spans="1:8" ht="15.75" x14ac:dyDescent="0.25">
      <c r="C8" s="26"/>
      <c r="F8" s="33">
        <v>3</v>
      </c>
      <c r="G8" s="50" t="s">
        <v>59</v>
      </c>
      <c r="H8" s="49"/>
    </row>
    <row r="9" spans="1:8" ht="15.75" x14ac:dyDescent="0.25">
      <c r="C9" s="26"/>
      <c r="F9" s="33">
        <v>4</v>
      </c>
      <c r="G9" s="50" t="s">
        <v>65</v>
      </c>
      <c r="H9" s="49"/>
    </row>
    <row r="10" spans="1:8" ht="15.75" x14ac:dyDescent="0.25">
      <c r="F10" s="33">
        <v>5</v>
      </c>
      <c r="G10" s="50" t="s">
        <v>60</v>
      </c>
      <c r="H10" s="49"/>
    </row>
    <row r="11" spans="1:8" ht="15.75" x14ac:dyDescent="0.25">
      <c r="F11" s="33">
        <v>6</v>
      </c>
      <c r="G11" s="51" t="s">
        <v>29</v>
      </c>
      <c r="H11" s="49"/>
    </row>
    <row r="12" spans="1:8" ht="15.75" x14ac:dyDescent="0.25">
      <c r="F12" s="23" t="s">
        <v>39</v>
      </c>
    </row>
    <row r="13" spans="1:8" x14ac:dyDescent="0.25">
      <c r="A13" t="s">
        <v>42</v>
      </c>
      <c r="F13" s="32"/>
      <c r="G13" s="32"/>
    </row>
    <row r="14" spans="1:8" x14ac:dyDescent="0.25">
      <c r="B14" t="s">
        <v>41</v>
      </c>
      <c r="F14" s="35" t="s">
        <v>43</v>
      </c>
      <c r="G14" s="32"/>
    </row>
    <row r="15" spans="1:8" x14ac:dyDescent="0.25">
      <c r="F15" s="33">
        <v>1</v>
      </c>
      <c r="G15" s="52" t="s">
        <v>44</v>
      </c>
    </row>
    <row r="16" spans="1:8" ht="15.75" x14ac:dyDescent="0.25">
      <c r="F16" s="33">
        <v>2</v>
      </c>
      <c r="G16" s="53" t="s">
        <v>61</v>
      </c>
    </row>
    <row r="17" spans="6:7" ht="15.75" x14ac:dyDescent="0.25">
      <c r="F17" s="33">
        <v>3</v>
      </c>
      <c r="G17" s="53" t="s">
        <v>62</v>
      </c>
    </row>
    <row r="18" spans="6:7" ht="15.75" x14ac:dyDescent="0.25">
      <c r="F18" s="33">
        <v>4</v>
      </c>
      <c r="G18" s="53" t="s">
        <v>63</v>
      </c>
    </row>
    <row r="19" spans="6:7" ht="15.75" x14ac:dyDescent="0.25">
      <c r="F19" s="33">
        <v>5</v>
      </c>
      <c r="G19" s="53" t="s">
        <v>64</v>
      </c>
    </row>
    <row r="20" spans="6:7" ht="15.75" x14ac:dyDescent="0.25">
      <c r="F20" s="33">
        <v>6</v>
      </c>
      <c r="G20" s="54" t="s">
        <v>29</v>
      </c>
    </row>
    <row r="21" spans="6:7" x14ac:dyDescent="0.25">
      <c r="F21" s="13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4F7A-4C7E-4EE4-B05A-37B37472C6F6}">
  <dimension ref="A1:J32"/>
  <sheetViews>
    <sheetView workbookViewId="0">
      <selection activeCell="F23" sqref="F23"/>
    </sheetView>
  </sheetViews>
  <sheetFormatPr defaultRowHeight="15" x14ac:dyDescent="0.25"/>
  <cols>
    <col min="1" max="1" width="30.5703125" customWidth="1"/>
  </cols>
  <sheetData>
    <row r="1" spans="1:10" ht="22.5" x14ac:dyDescent="0.45">
      <c r="A1" s="1"/>
      <c r="B1" s="1" t="s">
        <v>0</v>
      </c>
      <c r="F1" s="10" t="s">
        <v>88</v>
      </c>
    </row>
    <row r="2" spans="1:10" ht="15.75" x14ac:dyDescent="0.25">
      <c r="A2" s="1" t="s">
        <v>1</v>
      </c>
      <c r="B2" s="1">
        <v>1200</v>
      </c>
      <c r="G2" s="55" t="s">
        <v>71</v>
      </c>
      <c r="I2" s="11"/>
      <c r="J2" s="11"/>
    </row>
    <row r="3" spans="1:10" ht="15.75" x14ac:dyDescent="0.25">
      <c r="A3" s="1" t="s">
        <v>2</v>
      </c>
      <c r="B3" s="1">
        <v>150</v>
      </c>
      <c r="G3" s="56" t="s">
        <v>66</v>
      </c>
      <c r="I3" s="11"/>
      <c r="J3" s="11"/>
    </row>
    <row r="4" spans="1:10" ht="15.75" x14ac:dyDescent="0.25">
      <c r="A4" s="1" t="s">
        <v>3</v>
      </c>
      <c r="B4" s="1">
        <v>500</v>
      </c>
      <c r="H4" s="59" t="s">
        <v>90</v>
      </c>
      <c r="I4" s="11"/>
      <c r="J4" s="11"/>
    </row>
    <row r="5" spans="1:10" ht="15.75" x14ac:dyDescent="0.25">
      <c r="A5" s="1" t="s">
        <v>4</v>
      </c>
      <c r="B5" s="1">
        <v>8000</v>
      </c>
      <c r="H5" s="59" t="s">
        <v>89</v>
      </c>
      <c r="I5" s="11"/>
      <c r="J5" s="11"/>
    </row>
    <row r="6" spans="1:10" ht="15.75" x14ac:dyDescent="0.25">
      <c r="A6" s="1" t="s">
        <v>5</v>
      </c>
      <c r="B6" s="1">
        <f>(B2*B3)-(B4*B3)-B5</f>
        <v>97000</v>
      </c>
      <c r="H6" s="59" t="s">
        <v>91</v>
      </c>
      <c r="I6" s="11"/>
      <c r="J6" s="11"/>
    </row>
    <row r="7" spans="1:10" ht="15.75" x14ac:dyDescent="0.25">
      <c r="A7" s="45" t="s">
        <v>47</v>
      </c>
      <c r="H7" s="58" t="s">
        <v>72</v>
      </c>
      <c r="I7" s="11"/>
      <c r="J7" s="11"/>
    </row>
    <row r="8" spans="1:10" ht="15.75" x14ac:dyDescent="0.25">
      <c r="H8" s="57" t="s">
        <v>73</v>
      </c>
      <c r="I8" s="11"/>
      <c r="J8" s="11"/>
    </row>
    <row r="9" spans="1:10" ht="15.75" x14ac:dyDescent="0.25">
      <c r="H9" s="57" t="s">
        <v>70</v>
      </c>
      <c r="I9" s="11"/>
      <c r="J9" s="11"/>
    </row>
    <row r="10" spans="1:10" ht="15.75" x14ac:dyDescent="0.25">
      <c r="H10" s="59" t="s">
        <v>67</v>
      </c>
      <c r="I10" s="11"/>
      <c r="J10" s="11"/>
    </row>
    <row r="11" spans="1:10" ht="15.75" x14ac:dyDescent="0.25">
      <c r="H11" s="57" t="s">
        <v>74</v>
      </c>
      <c r="I11" s="11"/>
      <c r="J11" s="11"/>
    </row>
    <row r="12" spans="1:10" ht="15.75" x14ac:dyDescent="0.25">
      <c r="H12" s="57" t="s">
        <v>75</v>
      </c>
      <c r="I12" s="11"/>
      <c r="J12" s="11"/>
    </row>
    <row r="13" spans="1:10" ht="15.75" x14ac:dyDescent="0.25">
      <c r="H13" s="57" t="s">
        <v>76</v>
      </c>
      <c r="I13" s="11"/>
      <c r="J13" s="11"/>
    </row>
    <row r="14" spans="1:10" ht="15.75" x14ac:dyDescent="0.25">
      <c r="G14" s="55" t="s">
        <v>77</v>
      </c>
      <c r="I14" s="11"/>
      <c r="J14" s="11"/>
    </row>
    <row r="15" spans="1:10" ht="15.75" x14ac:dyDescent="0.25">
      <c r="H15" s="63" t="s">
        <v>92</v>
      </c>
      <c r="I15" s="11"/>
    </row>
    <row r="16" spans="1:10" x14ac:dyDescent="0.25">
      <c r="H16" s="60" t="s">
        <v>78</v>
      </c>
      <c r="I16" s="11"/>
    </row>
    <row r="17" spans="7:9" ht="15.75" x14ac:dyDescent="0.25">
      <c r="H17" s="61" t="s">
        <v>68</v>
      </c>
      <c r="I17" s="11"/>
    </row>
    <row r="18" spans="7:9" ht="15.75" x14ac:dyDescent="0.25">
      <c r="H18" s="60" t="s">
        <v>79</v>
      </c>
      <c r="I18" s="11"/>
    </row>
    <row r="19" spans="7:9" ht="15.75" x14ac:dyDescent="0.25">
      <c r="H19" s="60" t="s">
        <v>80</v>
      </c>
      <c r="I19" s="11"/>
    </row>
    <row r="20" spans="7:9" ht="15.75" x14ac:dyDescent="0.25">
      <c r="H20" s="60" t="s">
        <v>81</v>
      </c>
      <c r="I20" s="11"/>
    </row>
    <row r="21" spans="7:9" ht="15.75" x14ac:dyDescent="0.25">
      <c r="H21" s="60" t="s">
        <v>82</v>
      </c>
      <c r="I21" s="11"/>
    </row>
    <row r="22" spans="7:9" ht="15.75" x14ac:dyDescent="0.25">
      <c r="H22" s="64" t="s">
        <v>94</v>
      </c>
      <c r="I22" s="11"/>
    </row>
    <row r="23" spans="7:9" ht="15.75" x14ac:dyDescent="0.25">
      <c r="H23" s="60" t="s">
        <v>83</v>
      </c>
      <c r="I23" s="11"/>
    </row>
    <row r="24" spans="7:9" ht="15.75" x14ac:dyDescent="0.25">
      <c r="H24" s="60" t="s">
        <v>84</v>
      </c>
      <c r="I24" s="11"/>
    </row>
    <row r="25" spans="7:9" ht="15.75" x14ac:dyDescent="0.25">
      <c r="H25" s="60" t="s">
        <v>85</v>
      </c>
      <c r="I25" s="11"/>
    </row>
    <row r="26" spans="7:9" ht="15.75" x14ac:dyDescent="0.25">
      <c r="H26" s="60" t="s">
        <v>86</v>
      </c>
      <c r="I26" s="11"/>
    </row>
    <row r="27" spans="7:9" ht="15.75" x14ac:dyDescent="0.25">
      <c r="H27" s="59" t="s">
        <v>93</v>
      </c>
      <c r="I27" s="11"/>
    </row>
    <row r="28" spans="7:9" ht="15.75" x14ac:dyDescent="0.25">
      <c r="G28" s="56" t="s">
        <v>69</v>
      </c>
      <c r="I28" s="11"/>
    </row>
    <row r="29" spans="7:9" x14ac:dyDescent="0.25">
      <c r="H29" s="62"/>
      <c r="I29" s="11"/>
    </row>
    <row r="30" spans="7:9" ht="15.75" x14ac:dyDescent="0.25">
      <c r="H30" s="58" t="s">
        <v>87</v>
      </c>
      <c r="I30" s="11"/>
    </row>
    <row r="31" spans="7:9" ht="15.75" x14ac:dyDescent="0.25">
      <c r="H31" s="58" t="s">
        <v>144</v>
      </c>
      <c r="I31" s="11"/>
    </row>
    <row r="32" spans="7:9" ht="15.75" x14ac:dyDescent="0.25">
      <c r="H32" s="58" t="s">
        <v>143</v>
      </c>
      <c r="I32" s="11"/>
    </row>
  </sheetData>
  <scenarios current="2" show="0" sqref="B6">
    <scenario name="опт" locked="1" count="4" user="User">
      <inputCells r="B2" val="1200"/>
      <inputCells r="B3" val="150"/>
      <inputCells r="B4" val="500"/>
      <inputCells r="B5" val="8000"/>
    </scenario>
    <scenario name="пес" locked="1" count="4" user="User">
      <inputCells r="B2" val="1200"/>
      <inputCells r="B3" val="80"/>
      <inputCells r="B4" val="500"/>
      <inputCells r="B5" val="8000"/>
    </scenario>
    <scenario name="реал" locked="1" count="4" user="User" comment="Автор: User , 29.09.2025">
      <inputCells r="B2" val="800"/>
      <inputCells r="B3" val="100"/>
      <inputCells r="B4" val="500"/>
      <inputCells r="B5" val="8000"/>
    </scenario>
  </scenario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2AC2-F333-490D-9094-122FD0481E90}">
  <sheetPr>
    <outlinePr summaryBelow="0"/>
  </sheetPr>
  <dimension ref="B1:G14"/>
  <sheetViews>
    <sheetView showGridLines="0" workbookViewId="0">
      <selection activeCell="D17" sqref="D17"/>
    </sheetView>
  </sheetViews>
  <sheetFormatPr defaultRowHeight="15" outlineLevelRow="1" outlineLevelCol="1" x14ac:dyDescent="0.25"/>
  <cols>
    <col min="3" max="3" width="5.140625" bestFit="1" customWidth="1"/>
    <col min="4" max="7" width="16.140625" bestFit="1" customWidth="1" outlineLevel="1"/>
  </cols>
  <sheetData>
    <row r="1" spans="2:7" ht="15.75" thickBot="1" x14ac:dyDescent="0.3"/>
    <row r="2" spans="2:7" ht="15.75" x14ac:dyDescent="0.25">
      <c r="B2" s="67" t="s">
        <v>103</v>
      </c>
      <c r="C2" s="67"/>
      <c r="D2" s="72"/>
      <c r="E2" s="72"/>
      <c r="F2" s="72"/>
      <c r="G2" s="72"/>
    </row>
    <row r="3" spans="2:7" ht="15.75" collapsed="1" x14ac:dyDescent="0.25">
      <c r="B3" s="66"/>
      <c r="C3" s="66"/>
      <c r="D3" s="73" t="s">
        <v>105</v>
      </c>
      <c r="E3" s="73" t="s">
        <v>99</v>
      </c>
      <c r="F3" s="73" t="s">
        <v>100</v>
      </c>
      <c r="G3" s="73" t="s">
        <v>101</v>
      </c>
    </row>
    <row r="4" spans="2:7" ht="22.5" hidden="1" outlineLevel="1" x14ac:dyDescent="0.25">
      <c r="B4" s="69"/>
      <c r="C4" s="69"/>
      <c r="E4" s="75"/>
      <c r="F4" s="75"/>
      <c r="G4" s="75" t="s">
        <v>102</v>
      </c>
    </row>
    <row r="5" spans="2:7" x14ac:dyDescent="0.25">
      <c r="B5" s="70" t="s">
        <v>104</v>
      </c>
      <c r="C5" s="70"/>
      <c r="D5" s="68"/>
      <c r="E5" s="68"/>
      <c r="F5" s="68"/>
      <c r="G5" s="68"/>
    </row>
    <row r="6" spans="2:7" outlineLevel="1" x14ac:dyDescent="0.25">
      <c r="B6" s="69"/>
      <c r="C6" s="69" t="s">
        <v>95</v>
      </c>
      <c r="D6">
        <v>800</v>
      </c>
      <c r="E6" s="74">
        <v>1200</v>
      </c>
      <c r="F6" s="74">
        <v>1200</v>
      </c>
      <c r="G6" s="74">
        <v>800</v>
      </c>
    </row>
    <row r="7" spans="2:7" outlineLevel="1" x14ac:dyDescent="0.25">
      <c r="B7" s="69"/>
      <c r="C7" s="69" t="s">
        <v>96</v>
      </c>
      <c r="D7">
        <v>100</v>
      </c>
      <c r="E7" s="74">
        <v>150</v>
      </c>
      <c r="F7" s="74">
        <v>80</v>
      </c>
      <c r="G7" s="74">
        <v>100</v>
      </c>
    </row>
    <row r="8" spans="2:7" outlineLevel="1" x14ac:dyDescent="0.25">
      <c r="B8" s="69"/>
      <c r="C8" s="69" t="s">
        <v>97</v>
      </c>
      <c r="D8">
        <v>500</v>
      </c>
      <c r="E8" s="74">
        <v>500</v>
      </c>
      <c r="F8" s="74">
        <v>500</v>
      </c>
      <c r="G8" s="74">
        <v>500</v>
      </c>
    </row>
    <row r="9" spans="2:7" outlineLevel="1" x14ac:dyDescent="0.25">
      <c r="B9" s="69"/>
      <c r="C9" s="69" t="s">
        <v>98</v>
      </c>
      <c r="D9">
        <v>8000</v>
      </c>
      <c r="E9" s="74">
        <v>8000</v>
      </c>
      <c r="F9" s="74">
        <v>8000</v>
      </c>
      <c r="G9" s="74">
        <v>8000</v>
      </c>
    </row>
    <row r="10" spans="2:7" x14ac:dyDescent="0.25">
      <c r="B10" s="70" t="s">
        <v>106</v>
      </c>
      <c r="C10" s="70"/>
      <c r="D10" s="68"/>
      <c r="E10" s="68"/>
      <c r="F10" s="68"/>
      <c r="G10" s="68"/>
    </row>
    <row r="11" spans="2:7" ht="15.75" outlineLevel="1" thickBot="1" x14ac:dyDescent="0.3">
      <c r="B11" s="71"/>
      <c r="C11" s="71" t="s">
        <v>49</v>
      </c>
      <c r="D11" s="65">
        <v>22000</v>
      </c>
      <c r="E11" s="65">
        <v>97000</v>
      </c>
      <c r="F11" s="65">
        <v>48000</v>
      </c>
      <c r="G11" s="65">
        <v>22000</v>
      </c>
    </row>
    <row r="12" spans="2:7" x14ac:dyDescent="0.25">
      <c r="B12" t="s">
        <v>107</v>
      </c>
    </row>
    <row r="13" spans="2:7" x14ac:dyDescent="0.25">
      <c r="B13" t="s">
        <v>108</v>
      </c>
    </row>
    <row r="14" spans="2:7" x14ac:dyDescent="0.25">
      <c r="B14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F854-CBF1-48C3-82C9-C38EE3ABDCC4}">
  <dimension ref="A1:B6"/>
  <sheetViews>
    <sheetView workbookViewId="0">
      <selection activeCell="E31" sqref="E31"/>
    </sheetView>
  </sheetViews>
  <sheetFormatPr defaultRowHeight="15" x14ac:dyDescent="0.25"/>
  <cols>
    <col min="1" max="1" width="22.28515625" customWidth="1"/>
    <col min="2" max="2" width="7.85546875" bestFit="1" customWidth="1"/>
  </cols>
  <sheetData>
    <row r="1" spans="1:2" x14ac:dyDescent="0.25">
      <c r="A1" s="46" t="s">
        <v>53</v>
      </c>
      <c r="B1" t="s">
        <v>54</v>
      </c>
    </row>
    <row r="3" spans="1:2" x14ac:dyDescent="0.25">
      <c r="A3" s="46" t="s">
        <v>48</v>
      </c>
      <c r="B3" t="s">
        <v>49</v>
      </c>
    </row>
    <row r="4" spans="1:2" x14ac:dyDescent="0.25">
      <c r="A4" s="47" t="s">
        <v>50</v>
      </c>
      <c r="B4">
        <v>97000</v>
      </c>
    </row>
    <row r="5" spans="1:2" x14ac:dyDescent="0.25">
      <c r="A5" s="47" t="s">
        <v>51</v>
      </c>
      <c r="B5">
        <v>-4000</v>
      </c>
    </row>
    <row r="6" spans="1:2" x14ac:dyDescent="0.25">
      <c r="A6" s="47" t="s">
        <v>52</v>
      </c>
      <c r="B6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230C-2371-4617-B980-FE6B1FBD3D04}">
  <dimension ref="A1:J29"/>
  <sheetViews>
    <sheetView workbookViewId="0">
      <selection activeCell="G24" sqref="G24"/>
    </sheetView>
  </sheetViews>
  <sheetFormatPr defaultRowHeight="15" x14ac:dyDescent="0.25"/>
  <cols>
    <col min="1" max="1" width="10" customWidth="1"/>
    <col min="2" max="2" width="9.42578125" customWidth="1"/>
  </cols>
  <sheetData>
    <row r="1" spans="1:10" ht="30" x14ac:dyDescent="0.45">
      <c r="A1" s="78" t="s">
        <v>110</v>
      </c>
      <c r="B1" s="79" t="s">
        <v>112</v>
      </c>
      <c r="J1" s="76" t="s">
        <v>111</v>
      </c>
    </row>
    <row r="2" spans="1:10" x14ac:dyDescent="0.25">
      <c r="A2" s="80">
        <v>44927</v>
      </c>
      <c r="B2" s="78">
        <v>120000</v>
      </c>
    </row>
    <row r="3" spans="1:10" ht="15.75" x14ac:dyDescent="0.25">
      <c r="A3" s="80">
        <v>44958</v>
      </c>
      <c r="B3" s="78">
        <v>135000</v>
      </c>
      <c r="H3" s="81" t="s">
        <v>113</v>
      </c>
    </row>
    <row r="4" spans="1:10" ht="15.75" x14ac:dyDescent="0.25">
      <c r="A4" s="80">
        <v>44986</v>
      </c>
      <c r="B4" s="78">
        <v>150000</v>
      </c>
      <c r="H4" s="84" t="s">
        <v>114</v>
      </c>
    </row>
    <row r="5" spans="1:10" ht="15.75" x14ac:dyDescent="0.25">
      <c r="A5" s="80">
        <v>45017</v>
      </c>
      <c r="B5" s="78">
        <v>140000</v>
      </c>
      <c r="I5" s="58" t="s">
        <v>115</v>
      </c>
    </row>
    <row r="6" spans="1:10" ht="15.75" x14ac:dyDescent="0.25">
      <c r="A6" s="80">
        <v>45047</v>
      </c>
      <c r="B6" s="78">
        <v>160000</v>
      </c>
      <c r="I6" s="85" t="s">
        <v>146</v>
      </c>
    </row>
    <row r="7" spans="1:10" ht="15.75" x14ac:dyDescent="0.25">
      <c r="A7" s="80">
        <v>45078</v>
      </c>
      <c r="B7" s="78">
        <v>175000</v>
      </c>
      <c r="I7" s="85" t="s">
        <v>121</v>
      </c>
    </row>
    <row r="8" spans="1:10" ht="15.75" x14ac:dyDescent="0.25">
      <c r="A8" s="80">
        <v>45108</v>
      </c>
      <c r="B8" s="78">
        <v>190000</v>
      </c>
      <c r="I8" s="58" t="s">
        <v>116</v>
      </c>
    </row>
    <row r="9" spans="1:10" ht="15.75" x14ac:dyDescent="0.25">
      <c r="A9" s="80">
        <v>45139</v>
      </c>
      <c r="B9" s="78">
        <v>180000</v>
      </c>
      <c r="I9" s="58" t="s">
        <v>117</v>
      </c>
    </row>
    <row r="10" spans="1:10" ht="15.75" x14ac:dyDescent="0.25">
      <c r="A10" s="80">
        <v>45170</v>
      </c>
      <c r="B10" s="78">
        <v>200000</v>
      </c>
      <c r="H10" s="84" t="s">
        <v>118</v>
      </c>
    </row>
    <row r="11" spans="1:10" ht="15.75" x14ac:dyDescent="0.25">
      <c r="A11" s="80">
        <v>45200</v>
      </c>
      <c r="B11" s="78">
        <v>210000</v>
      </c>
      <c r="H11" s="82"/>
      <c r="I11" s="58" t="s">
        <v>119</v>
      </c>
    </row>
    <row r="12" spans="1:10" ht="15.75" x14ac:dyDescent="0.25">
      <c r="A12" s="80">
        <v>45231</v>
      </c>
      <c r="B12" s="78">
        <v>225000</v>
      </c>
      <c r="I12" s="58" t="s">
        <v>122</v>
      </c>
    </row>
    <row r="13" spans="1:10" x14ac:dyDescent="0.25">
      <c r="A13" s="80">
        <v>45261</v>
      </c>
      <c r="B13" s="78">
        <v>240000</v>
      </c>
    </row>
    <row r="14" spans="1:10" ht="15.75" x14ac:dyDescent="0.25">
      <c r="H14" s="84" t="s">
        <v>120</v>
      </c>
    </row>
    <row r="15" spans="1:10" ht="15.75" x14ac:dyDescent="0.25">
      <c r="I15" s="55" t="s">
        <v>139</v>
      </c>
    </row>
    <row r="16" spans="1:10" ht="15.75" x14ac:dyDescent="0.25">
      <c r="I16" s="55" t="s">
        <v>133</v>
      </c>
    </row>
    <row r="17" spans="8:9" ht="15.75" x14ac:dyDescent="0.25">
      <c r="I17" s="85" t="s">
        <v>140</v>
      </c>
    </row>
    <row r="18" spans="8:9" ht="15.75" x14ac:dyDescent="0.25">
      <c r="I18" s="85" t="s">
        <v>141</v>
      </c>
    </row>
    <row r="19" spans="8:9" ht="15.75" x14ac:dyDescent="0.25">
      <c r="H19" s="84"/>
      <c r="I19" s="55" t="s">
        <v>145</v>
      </c>
    </row>
    <row r="20" spans="8:9" ht="15.75" x14ac:dyDescent="0.25">
      <c r="H20" s="23"/>
      <c r="I20" s="55" t="s">
        <v>142</v>
      </c>
    </row>
    <row r="21" spans="8:9" ht="15.75" x14ac:dyDescent="0.25">
      <c r="H21" s="83"/>
      <c r="I21" s="87" t="s">
        <v>134</v>
      </c>
    </row>
    <row r="22" spans="8:9" ht="15.75" x14ac:dyDescent="0.25">
      <c r="H22" s="83"/>
      <c r="I22" s="87" t="s">
        <v>135</v>
      </c>
    </row>
    <row r="23" spans="8:9" ht="15.75" x14ac:dyDescent="0.25">
      <c r="H23" s="23"/>
      <c r="I23" s="87" t="s">
        <v>136</v>
      </c>
    </row>
    <row r="24" spans="8:9" ht="15.75" x14ac:dyDescent="0.25">
      <c r="H24" s="23"/>
      <c r="I24" s="87" t="s">
        <v>137</v>
      </c>
    </row>
    <row r="25" spans="8:9" ht="15.75" x14ac:dyDescent="0.25">
      <c r="H25" s="84"/>
      <c r="I25" s="87" t="s">
        <v>138</v>
      </c>
    </row>
    <row r="26" spans="8:9" x14ac:dyDescent="0.25">
      <c r="H26" s="82"/>
    </row>
    <row r="27" spans="8:9" ht="15.75" x14ac:dyDescent="0.25">
      <c r="H27" s="23"/>
    </row>
    <row r="28" spans="8:9" ht="15.75" x14ac:dyDescent="0.25">
      <c r="H28" s="23"/>
    </row>
    <row r="29" spans="8:9" ht="15.75" x14ac:dyDescent="0.25">
      <c r="H29" s="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81C8-A101-4481-BE1F-6CE37A10E41D}">
  <dimension ref="A1:H19"/>
  <sheetViews>
    <sheetView tabSelected="1" workbookViewId="0">
      <selection activeCell="O18" sqref="O18"/>
    </sheetView>
  </sheetViews>
  <sheetFormatPr defaultRowHeight="15" x14ac:dyDescent="0.25"/>
  <cols>
    <col min="1" max="1" width="10.140625" bestFit="1" customWidth="1"/>
    <col min="2" max="4" width="9.28515625" bestFit="1" customWidth="1"/>
    <col min="7" max="7" width="13" customWidth="1"/>
    <col min="8" max="8" width="11.85546875" customWidth="1"/>
  </cols>
  <sheetData>
    <row r="1" spans="1:8" ht="75" x14ac:dyDescent="0.25">
      <c r="A1" t="s">
        <v>110</v>
      </c>
      <c r="B1" s="26" t="s">
        <v>112</v>
      </c>
      <c r="C1" s="26" t="s">
        <v>123</v>
      </c>
      <c r="D1" s="26" t="s">
        <v>124</v>
      </c>
      <c r="G1" t="s">
        <v>125</v>
      </c>
      <c r="H1" t="s">
        <v>0</v>
      </c>
    </row>
    <row r="2" spans="1:8" x14ac:dyDescent="0.25">
      <c r="A2" s="77">
        <v>44927</v>
      </c>
      <c r="B2">
        <v>120000</v>
      </c>
      <c r="G2" t="s">
        <v>126</v>
      </c>
      <c r="H2" s="86">
        <f>_xlfn.FORECAST.ETS.STAT($B$2:$B$13,$A$2:$A$13,1,12,1)</f>
        <v>2E-3</v>
      </c>
    </row>
    <row r="3" spans="1:8" x14ac:dyDescent="0.25">
      <c r="A3" s="77">
        <v>44958</v>
      </c>
      <c r="B3">
        <v>135000</v>
      </c>
      <c r="G3" t="s">
        <v>127</v>
      </c>
      <c r="H3" s="86">
        <f>_xlfn.FORECAST.ETS.STAT($B$2:$B$13,$A$2:$A$13,2,12,1)</f>
        <v>1E-3</v>
      </c>
    </row>
    <row r="4" spans="1:8" x14ac:dyDescent="0.25">
      <c r="A4" s="77">
        <v>44986</v>
      </c>
      <c r="B4">
        <v>150000</v>
      </c>
      <c r="G4" t="s">
        <v>128</v>
      </c>
      <c r="H4" s="86">
        <f>_xlfn.FORECAST.ETS.STAT($B$2:$B$13,$A$2:$A$13,3,12,1)</f>
        <v>2.2204460492503131E-16</v>
      </c>
    </row>
    <row r="5" spans="1:8" x14ac:dyDescent="0.25">
      <c r="A5" s="77">
        <v>45017</v>
      </c>
      <c r="B5">
        <v>140000</v>
      </c>
      <c r="G5" t="s">
        <v>129</v>
      </c>
      <c r="H5" s="86">
        <f>_xlfn.FORECAST.ETS.STAT($B$2:$B$13,$A$2:$A$13,4,12,1)</f>
        <v>0.24666705411722992</v>
      </c>
    </row>
    <row r="6" spans="1:8" x14ac:dyDescent="0.25">
      <c r="A6" s="77">
        <v>45047</v>
      </c>
      <c r="B6">
        <v>160000</v>
      </c>
      <c r="G6" t="s">
        <v>130</v>
      </c>
      <c r="H6" s="86">
        <f>_xlfn.FORECAST.ETS.STAT($B$2:$B$13,$A$2:$A$13,5,12,1)</f>
        <v>1.5688207696596054E-2</v>
      </c>
    </row>
    <row r="7" spans="1:8" x14ac:dyDescent="0.25">
      <c r="A7" s="77">
        <v>45078</v>
      </c>
      <c r="B7">
        <v>175000</v>
      </c>
      <c r="G7" t="s">
        <v>131</v>
      </c>
      <c r="H7" s="86">
        <f>_xlfn.FORECAST.ETS.STAT($B$2:$B$13,$A$2:$A$13,6,12,1)</f>
        <v>3523.8150588175704</v>
      </c>
    </row>
    <row r="8" spans="1:8" x14ac:dyDescent="0.25">
      <c r="A8" s="77">
        <v>45108</v>
      </c>
      <c r="B8">
        <v>190000</v>
      </c>
      <c r="G8" t="s">
        <v>132</v>
      </c>
      <c r="H8" s="86">
        <f>_xlfn.FORECAST.ETS.STAT($B$2:$B$13,$A$2:$A$13,7,12,1)</f>
        <v>4197.8275106988913</v>
      </c>
    </row>
    <row r="9" spans="1:8" x14ac:dyDescent="0.25">
      <c r="A9" s="77">
        <v>45139</v>
      </c>
      <c r="B9">
        <v>180000</v>
      </c>
    </row>
    <row r="10" spans="1:8" x14ac:dyDescent="0.25">
      <c r="A10" s="77">
        <v>45170</v>
      </c>
      <c r="B10">
        <v>200000</v>
      </c>
    </row>
    <row r="11" spans="1:8" x14ac:dyDescent="0.25">
      <c r="A11" s="77">
        <v>45200</v>
      </c>
      <c r="B11">
        <v>210000</v>
      </c>
    </row>
    <row r="12" spans="1:8" x14ac:dyDescent="0.25">
      <c r="A12" s="77">
        <v>45231</v>
      </c>
      <c r="B12">
        <v>225000</v>
      </c>
    </row>
    <row r="13" spans="1:8" x14ac:dyDescent="0.25">
      <c r="A13" s="77">
        <v>45261</v>
      </c>
      <c r="B13">
        <v>240000</v>
      </c>
    </row>
    <row r="14" spans="1:8" x14ac:dyDescent="0.25">
      <c r="A14" s="77">
        <v>45292</v>
      </c>
      <c r="C14">
        <f>_xlfn.FORECAST.ETS(A14,$B$2:$B$13,$A$2:$A$13,12,1)</f>
        <v>242809.11935593808</v>
      </c>
      <c r="D14">
        <f>_xlfn.FORECAST.ETS.CONFINT(A14,$B$2:$B$13,$A$2:$A$13,0.95,12,1)</f>
        <v>12960.981705478185</v>
      </c>
    </row>
    <row r="15" spans="1:8" x14ac:dyDescent="0.25">
      <c r="A15" s="77">
        <v>45323</v>
      </c>
      <c r="C15">
        <f>_xlfn.FORECAST.ETS(A15,$B$2:$B$13,$A$2:$A$13,12,1)</f>
        <v>253045.92894411267</v>
      </c>
      <c r="D15">
        <f>_xlfn.FORECAST.ETS.CONFINT(A15,$B$2:$B$13,$A$2:$A$13,0.95,12,1)</f>
        <v>12961.040029764628</v>
      </c>
    </row>
    <row r="16" spans="1:8" x14ac:dyDescent="0.25">
      <c r="A16" s="77">
        <v>45352</v>
      </c>
      <c r="C16">
        <f>_xlfn.FORECAST.ETS(A16,$B$2:$B$13,$A$2:$A$13,12,1)</f>
        <v>263282.73853228724</v>
      </c>
      <c r="D16">
        <f>_xlfn.FORECAST.ETS.CONFINT(A16,$B$2:$B$13,$A$2:$A$13,0.95,12,1)</f>
        <v>12961.143716736939</v>
      </c>
    </row>
    <row r="17" spans="1:4" x14ac:dyDescent="0.25">
      <c r="A17" s="77">
        <v>45383</v>
      </c>
      <c r="C17">
        <f>_xlfn.FORECAST.ETS(A17,$B$2:$B$13,$A$2:$A$13,12,1)</f>
        <v>273519.54812046187</v>
      </c>
      <c r="D17">
        <f>_xlfn.FORECAST.ETS.CONFINT(A17,$B$2:$B$13,$A$2:$A$13,0.95,12,1)</f>
        <v>12961.305725970615</v>
      </c>
    </row>
    <row r="18" spans="1:4" x14ac:dyDescent="0.25">
      <c r="A18" s="77">
        <v>45413</v>
      </c>
      <c r="C18">
        <f>_xlfn.FORECAST.ETS(A18,$B$2:$B$13,$A$2:$A$13,12,1)</f>
        <v>283756.35770863644</v>
      </c>
      <c r="D18">
        <f>_xlfn.FORECAST.ETS.CONFINT(A18,$B$2:$B$13,$A$2:$A$13,0.95,12,1)</f>
        <v>12961.539015709606</v>
      </c>
    </row>
    <row r="19" spans="1:4" x14ac:dyDescent="0.25">
      <c r="A19" s="77">
        <v>45444</v>
      </c>
      <c r="C19">
        <f>_xlfn.FORECAST.ETS(A19,$B$2:$B$13,$A$2:$A$13,12,1)</f>
        <v>293993.16729681101</v>
      </c>
      <c r="D19">
        <f>_xlfn.FORECAST.ETS.CONFINT(A19,$B$2:$B$13,$A$2:$A$13,0.95,12,1)</f>
        <v>12961.85654221856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таб_дан.</vt:lpstr>
      <vt:lpstr>подбор </vt:lpstr>
      <vt:lpstr>диспечер</vt:lpstr>
      <vt:lpstr>Структура сценария</vt:lpstr>
      <vt:lpstr>Сводная таблица по сценарию</vt:lpstr>
      <vt:lpstr>Лист-прогноза</vt:lpstr>
      <vt:lpstr>Л_пр_результат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2025-09-23T02:24:47Z</dcterms:created>
  <dcterms:modified xsi:type="dcterms:W3CDTF">2025-09-29T18:25:13Z</dcterms:modified>
</cp:coreProperties>
</file>